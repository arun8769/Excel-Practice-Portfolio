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XCEL\Data_Analysis_Portfolio\Statistical formulas\"/>
    </mc:Choice>
  </mc:AlternateContent>
  <bookViews>
    <workbookView xWindow="0" yWindow="0" windowWidth="16392" windowHeight="5520" activeTab="3"/>
  </bookViews>
  <sheets>
    <sheet name="Employe data" sheetId="2" r:id="rId1"/>
    <sheet name="sales data" sheetId="1" r:id="rId2"/>
    <sheet name="AVERAGRIF &amp; AVERAGEIFS" sheetId="3" r:id="rId3"/>
    <sheet name="max formula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4" l="1"/>
  <c r="M4" i="4"/>
  <c r="M3" i="4" l="1"/>
  <c r="Q4" i="3" l="1"/>
  <c r="Q5" i="3"/>
  <c r="Q6" i="3"/>
  <c r="Q7" i="3"/>
  <c r="Q8" i="3"/>
  <c r="Q9" i="3"/>
  <c r="Q10" i="3"/>
  <c r="Q11" i="3"/>
  <c r="Q12" i="3"/>
  <c r="Q13" i="3"/>
  <c r="Q3" i="3"/>
  <c r="M4" i="3" l="1"/>
  <c r="M5" i="3"/>
  <c r="M6" i="3"/>
  <c r="M3" i="3"/>
  <c r="L4" i="2" l="1"/>
  <c r="M4" i="2"/>
  <c r="N4" i="2"/>
  <c r="O4" i="2"/>
  <c r="K5" i="2"/>
  <c r="K6" i="2"/>
  <c r="K7" i="2"/>
  <c r="K4" i="2"/>
  <c r="Q14" i="1"/>
  <c r="Q4" i="1"/>
  <c r="Q5" i="1"/>
  <c r="Q6" i="1"/>
  <c r="Q7" i="1"/>
  <c r="Q8" i="1"/>
  <c r="Q9" i="1"/>
  <c r="Q10" i="1"/>
  <c r="Q11" i="1"/>
  <c r="Q12" i="1"/>
  <c r="Q13" i="1"/>
  <c r="Q3" i="1"/>
  <c r="M11" i="1" l="1"/>
  <c r="M12" i="1"/>
  <c r="M13" i="1"/>
  <c r="M14" i="1"/>
  <c r="M15" i="1"/>
  <c r="M16" i="1"/>
  <c r="M17" i="1"/>
  <c r="M18" i="1"/>
  <c r="M19" i="1"/>
  <c r="M20" i="1"/>
  <c r="M21" i="1"/>
  <c r="M10" i="1"/>
  <c r="M5" i="1"/>
  <c r="M6" i="1"/>
  <c r="M4" i="1"/>
  <c r="M3" i="1"/>
  <c r="M7" i="1" l="1"/>
  <c r="L5" i="2"/>
  <c r="M5" i="2" s="1"/>
  <c r="N5" i="2" s="1"/>
  <c r="O5" i="2" s="1"/>
  <c r="L6" i="2" l="1"/>
  <c r="M6" i="2" s="1"/>
  <c r="N6" i="2" s="1"/>
  <c r="O6" i="2" s="1"/>
  <c r="L7" i="2" l="1"/>
  <c r="M7" i="2" s="1"/>
  <c r="N7" i="2" s="1"/>
  <c r="O7" i="2" s="1"/>
</calcChain>
</file>

<file path=xl/sharedStrings.xml><?xml version="1.0" encoding="utf-8"?>
<sst xmlns="http://schemas.openxmlformats.org/spreadsheetml/2006/main" count="471" uniqueCount="124">
  <si>
    <t>Order_ID</t>
  </si>
  <si>
    <t>Date</t>
  </si>
  <si>
    <t>Region</t>
  </si>
  <si>
    <t>State</t>
  </si>
  <si>
    <t>Product</t>
  </si>
  <si>
    <t>Category</t>
  </si>
  <si>
    <t>Quantity</t>
  </si>
  <si>
    <t>Unit_Price</t>
  </si>
  <si>
    <t>Sales_Amount</t>
  </si>
  <si>
    <t>O1001</t>
  </si>
  <si>
    <t>North</t>
  </si>
  <si>
    <t>Delhi</t>
  </si>
  <si>
    <t>Arun Sharma</t>
  </si>
  <si>
    <t>Laptop</t>
  </si>
  <si>
    <t>Electronics</t>
  </si>
  <si>
    <t>O1002</t>
  </si>
  <si>
    <t>West</t>
  </si>
  <si>
    <t>Mumbai</t>
  </si>
  <si>
    <t>Priya Mehta</t>
  </si>
  <si>
    <t>Headphones</t>
  </si>
  <si>
    <t>O1003</t>
  </si>
  <si>
    <t>South</t>
  </si>
  <si>
    <t>Chennai</t>
  </si>
  <si>
    <t>Rajesh Kumar</t>
  </si>
  <si>
    <t>Chair</t>
  </si>
  <si>
    <t>Furniture</t>
  </si>
  <si>
    <t>O1004</t>
  </si>
  <si>
    <t>East</t>
  </si>
  <si>
    <t>Kolkata</t>
  </si>
  <si>
    <t>Sneha Patel</t>
  </si>
  <si>
    <t>Table</t>
  </si>
  <si>
    <t>O1005</t>
  </si>
  <si>
    <t>Jaipur</t>
  </si>
  <si>
    <t>Deepak Singh</t>
  </si>
  <si>
    <t>Mobile Phone</t>
  </si>
  <si>
    <t>O1006</t>
  </si>
  <si>
    <t>Hyderabad</t>
  </si>
  <si>
    <t>Neha Gupta</t>
  </si>
  <si>
    <t>Monitor</t>
  </si>
  <si>
    <t>O1007</t>
  </si>
  <si>
    <t>Ahmedabad</t>
  </si>
  <si>
    <t>Ankit Yadav</t>
  </si>
  <si>
    <t>Office Chair</t>
  </si>
  <si>
    <t>O1008</t>
  </si>
  <si>
    <t>Chandigarh</t>
  </si>
  <si>
    <t>Reena Dube</t>
  </si>
  <si>
    <t>Pen Drive</t>
  </si>
  <si>
    <t>Accessories</t>
  </si>
  <si>
    <t>O1009</t>
  </si>
  <si>
    <t>Mohit Joshi</t>
  </si>
  <si>
    <t>Keyboard</t>
  </si>
  <si>
    <t>O1010</t>
  </si>
  <si>
    <t>Pune</t>
  </si>
  <si>
    <t>Pooja Rathi</t>
  </si>
  <si>
    <t>Mouse</t>
  </si>
  <si>
    <t>O1011</t>
  </si>
  <si>
    <t>Bangalore</t>
  </si>
  <si>
    <t>Gaurav Mishra</t>
  </si>
  <si>
    <t>Printer</t>
  </si>
  <si>
    <t>O1012</t>
  </si>
  <si>
    <t>Lucknow</t>
  </si>
  <si>
    <t>Divya Sharma</t>
  </si>
  <si>
    <t>Customer Name</t>
  </si>
  <si>
    <t>total sales</t>
  </si>
  <si>
    <t>TOTAL</t>
  </si>
  <si>
    <t>TOTAL Quantity</t>
  </si>
  <si>
    <t>(SumIF and SumIFS Formula)</t>
  </si>
  <si>
    <t>sumIF FORMULA</t>
  </si>
  <si>
    <t>SumIFS formula</t>
  </si>
  <si>
    <t>arun Sharma</t>
  </si>
  <si>
    <t>Emp_ID</t>
  </si>
  <si>
    <t>Name</t>
  </si>
  <si>
    <t>Department</t>
  </si>
  <si>
    <t>Gender</t>
  </si>
  <si>
    <t>City</t>
  </si>
  <si>
    <t>Salary</t>
  </si>
  <si>
    <t>Status</t>
  </si>
  <si>
    <t>E001</t>
  </si>
  <si>
    <t>IT</t>
  </si>
  <si>
    <t>M</t>
  </si>
  <si>
    <t>Active</t>
  </si>
  <si>
    <t>E002</t>
  </si>
  <si>
    <t>HR</t>
  </si>
  <si>
    <t>F</t>
  </si>
  <si>
    <t>E003</t>
  </si>
  <si>
    <t>Finance</t>
  </si>
  <si>
    <t>Inactive</t>
  </si>
  <si>
    <t>E004</t>
  </si>
  <si>
    <t>E005</t>
  </si>
  <si>
    <t>Sales</t>
  </si>
  <si>
    <t>E006</t>
  </si>
  <si>
    <t>Bhopal</t>
  </si>
  <si>
    <t>E007</t>
  </si>
  <si>
    <t>E008</t>
  </si>
  <si>
    <t>E009</t>
  </si>
  <si>
    <t>E010</t>
  </si>
  <si>
    <t>Pooja Singh</t>
  </si>
  <si>
    <t>E011</t>
  </si>
  <si>
    <t>E012</t>
  </si>
  <si>
    <t>E013</t>
  </si>
  <si>
    <t>Rajesh Verma</t>
  </si>
  <si>
    <t>E014</t>
  </si>
  <si>
    <t>Kavita Yadav</t>
  </si>
  <si>
    <t>E015</t>
  </si>
  <si>
    <t>Aditya Raj</t>
  </si>
  <si>
    <t>E016</t>
  </si>
  <si>
    <t>Simran Kaur</t>
  </si>
  <si>
    <t>E017</t>
  </si>
  <si>
    <t>Rahul Sharma</t>
  </si>
  <si>
    <t>E018</t>
  </si>
  <si>
    <t>Meena Joshi</t>
  </si>
  <si>
    <t>E019</t>
  </si>
  <si>
    <t>Tushar Jain</t>
  </si>
  <si>
    <t>E020</t>
  </si>
  <si>
    <t>Sonam Tiwari</t>
  </si>
  <si>
    <t>delhi</t>
  </si>
  <si>
    <t>COUNTIF &amp; COUNTIFS</t>
  </si>
  <si>
    <t>AVERAGE SALES</t>
  </si>
  <si>
    <t>AVERAGEIF RESULT</t>
  </si>
  <si>
    <t>AVERAGEIFS RESULTS</t>
  </si>
  <si>
    <t>max result</t>
  </si>
  <si>
    <t>sales amount</t>
  </si>
  <si>
    <t>min result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</si>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</sst>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i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right" vertical="center" wrapText="1"/>
    </xf>
    <xf numFmtId="0" fontId="2" fillId="3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8" borderId="3" xfId="0" applyFont="1" applyFill="1" applyBorder="1" applyAlignment="1">
      <alignment horizontal="center" vertical="top" wrapText="1"/>
    </xf>
    <xf numFmtId="0" fontId="7" fillId="8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I10" sqref="I10"/>
    </sheetView>
  </sheetViews>
  <sheetFormatPr defaultRowHeight="14.4" x14ac:dyDescent="0.3"/>
  <cols>
    <col min="2" max="2" width="15" customWidth="1"/>
    <col min="3" max="3" width="16.21875" customWidth="1"/>
    <col min="7" max="7" width="18" customWidth="1"/>
    <col min="9" max="9" width="12" customWidth="1"/>
    <col min="10" max="10" width="19.6640625" bestFit="1" customWidth="1"/>
  </cols>
  <sheetData>
    <row r="1" spans="1:15" ht="18" customHeight="1" x14ac:dyDescent="0.3">
      <c r="A1" s="15" t="s">
        <v>70</v>
      </c>
      <c r="B1" s="15" t="s">
        <v>71</v>
      </c>
      <c r="C1" s="15" t="s">
        <v>72</v>
      </c>
      <c r="D1" s="15" t="s">
        <v>73</v>
      </c>
      <c r="E1" s="15" t="s">
        <v>74</v>
      </c>
      <c r="F1" s="15" t="s">
        <v>75</v>
      </c>
      <c r="G1" s="15" t="s">
        <v>76</v>
      </c>
      <c r="J1" s="1" t="s">
        <v>116</v>
      </c>
    </row>
    <row r="2" spans="1:15" x14ac:dyDescent="0.3">
      <c r="A2" s="17" t="s">
        <v>77</v>
      </c>
      <c r="B2" s="16" t="s">
        <v>12</v>
      </c>
      <c r="C2" s="16" t="s">
        <v>78</v>
      </c>
      <c r="D2" s="16" t="s">
        <v>79</v>
      </c>
      <c r="E2" s="16" t="s">
        <v>11</v>
      </c>
      <c r="F2" s="16">
        <v>55000</v>
      </c>
      <c r="G2" s="16" t="s">
        <v>80</v>
      </c>
      <c r="I2" s="2"/>
    </row>
    <row r="3" spans="1:15" x14ac:dyDescent="0.3">
      <c r="A3" s="17" t="s">
        <v>81</v>
      </c>
      <c r="B3" s="16" t="s">
        <v>18</v>
      </c>
      <c r="C3" s="16" t="s">
        <v>82</v>
      </c>
      <c r="D3" s="16" t="s">
        <v>83</v>
      </c>
      <c r="E3" s="16" t="s">
        <v>17</v>
      </c>
      <c r="F3" s="16">
        <v>40000</v>
      </c>
      <c r="G3" s="16" t="s">
        <v>80</v>
      </c>
      <c r="I3" s="1"/>
      <c r="J3" s="1" t="s">
        <v>74</v>
      </c>
      <c r="K3" s="2" t="s">
        <v>78</v>
      </c>
      <c r="L3" s="2" t="s">
        <v>82</v>
      </c>
      <c r="M3" s="2" t="s">
        <v>85</v>
      </c>
      <c r="N3" s="2" t="s">
        <v>78</v>
      </c>
      <c r="O3" s="2" t="s">
        <v>89</v>
      </c>
    </row>
    <row r="4" spans="1:15" x14ac:dyDescent="0.3">
      <c r="A4" s="17" t="s">
        <v>84</v>
      </c>
      <c r="B4" s="16" t="s">
        <v>23</v>
      </c>
      <c r="C4" s="16" t="s">
        <v>85</v>
      </c>
      <c r="D4" s="16" t="s">
        <v>79</v>
      </c>
      <c r="E4" s="16" t="s">
        <v>32</v>
      </c>
      <c r="F4" s="16">
        <v>60000</v>
      </c>
      <c r="G4" s="16" t="s">
        <v>86</v>
      </c>
      <c r="I4" s="2"/>
      <c r="J4" s="2" t="s">
        <v>11</v>
      </c>
      <c r="K4">
        <f>COUNTIFS($E:$E,$J4,C:C,K$3)</f>
        <v>2</v>
      </c>
      <c r="L4">
        <f t="shared" ref="L4:O4" si="0">COUNTIFS($E:$E,$J4,D:D,L$3)</f>
        <v>0</v>
      </c>
      <c r="M4">
        <f t="shared" si="0"/>
        <v>0</v>
      </c>
      <c r="N4">
        <f t="shared" si="0"/>
        <v>0</v>
      </c>
      <c r="O4">
        <f t="shared" si="0"/>
        <v>0</v>
      </c>
    </row>
    <row r="5" spans="1:15" x14ac:dyDescent="0.3">
      <c r="A5" s="17" t="s">
        <v>87</v>
      </c>
      <c r="B5" s="16" t="s">
        <v>29</v>
      </c>
      <c r="C5" s="16" t="s">
        <v>78</v>
      </c>
      <c r="D5" s="16" t="s">
        <v>83</v>
      </c>
      <c r="E5" s="16" t="s">
        <v>52</v>
      </c>
      <c r="F5" s="16">
        <v>48000</v>
      </c>
      <c r="G5" s="16" t="s">
        <v>80</v>
      </c>
      <c r="I5" s="2"/>
      <c r="J5" s="2" t="s">
        <v>17</v>
      </c>
      <c r="K5">
        <f t="shared" ref="K5:K7" si="1">COUNTIFS($E:$E,$J5,C:C,K$3)</f>
        <v>0</v>
      </c>
      <c r="L5">
        <f t="shared" ref="L5:L7" si="2">COUNTIFS($E:$E,K5,D:D,L4)</f>
        <v>0</v>
      </c>
      <c r="M5">
        <f t="shared" ref="M5:M7" si="3">COUNTIFS($E:$E,L5,E:E,M4)</f>
        <v>0</v>
      </c>
      <c r="N5">
        <f t="shared" ref="N5:N7" si="4">COUNTIFS($E:$E,M5,F:F,N4)</f>
        <v>0</v>
      </c>
      <c r="O5">
        <f t="shared" ref="O5:O7" si="5">COUNTIFS($E:$E,N5,G:G,O4)</f>
        <v>0</v>
      </c>
    </row>
    <row r="6" spans="1:15" x14ac:dyDescent="0.3">
      <c r="A6" s="17" t="s">
        <v>88</v>
      </c>
      <c r="B6" s="16" t="s">
        <v>33</v>
      </c>
      <c r="C6" s="16" t="s">
        <v>89</v>
      </c>
      <c r="D6" s="16" t="s">
        <v>79</v>
      </c>
      <c r="E6" s="16" t="s">
        <v>11</v>
      </c>
      <c r="F6" s="16">
        <v>45000</v>
      </c>
      <c r="G6" s="16" t="s">
        <v>80</v>
      </c>
      <c r="I6" s="2"/>
      <c r="J6" s="2" t="s">
        <v>32</v>
      </c>
      <c r="K6">
        <f t="shared" si="1"/>
        <v>1</v>
      </c>
      <c r="L6">
        <f t="shared" si="2"/>
        <v>0</v>
      </c>
      <c r="M6">
        <f t="shared" si="3"/>
        <v>0</v>
      </c>
      <c r="N6">
        <f t="shared" si="4"/>
        <v>0</v>
      </c>
      <c r="O6">
        <f t="shared" si="5"/>
        <v>0</v>
      </c>
    </row>
    <row r="7" spans="1:15" x14ac:dyDescent="0.3">
      <c r="A7" s="17" t="s">
        <v>90</v>
      </c>
      <c r="B7" s="16" t="s">
        <v>37</v>
      </c>
      <c r="C7" s="16" t="s">
        <v>82</v>
      </c>
      <c r="D7" s="16" t="s">
        <v>83</v>
      </c>
      <c r="E7" s="16" t="s">
        <v>115</v>
      </c>
      <c r="F7" s="16">
        <v>47000</v>
      </c>
      <c r="G7" s="16" t="s">
        <v>86</v>
      </c>
      <c r="I7" s="2"/>
      <c r="J7" s="2" t="s">
        <v>52</v>
      </c>
      <c r="K7">
        <f t="shared" si="1"/>
        <v>1</v>
      </c>
      <c r="L7">
        <f t="shared" si="2"/>
        <v>0</v>
      </c>
      <c r="M7">
        <f t="shared" si="3"/>
        <v>0</v>
      </c>
      <c r="N7">
        <f t="shared" si="4"/>
        <v>0</v>
      </c>
      <c r="O7">
        <f t="shared" si="5"/>
        <v>0</v>
      </c>
    </row>
    <row r="8" spans="1:15" x14ac:dyDescent="0.3">
      <c r="A8" s="17" t="s">
        <v>92</v>
      </c>
      <c r="B8" s="16" t="s">
        <v>41</v>
      </c>
      <c r="C8" s="16" t="s">
        <v>85</v>
      </c>
      <c r="D8" s="16" t="s">
        <v>79</v>
      </c>
      <c r="E8" s="16" t="s">
        <v>22</v>
      </c>
      <c r="F8" s="16">
        <v>52000</v>
      </c>
      <c r="G8" s="16" t="s">
        <v>80</v>
      </c>
    </row>
    <row r="9" spans="1:15" x14ac:dyDescent="0.3">
      <c r="A9" s="17" t="s">
        <v>93</v>
      </c>
      <c r="B9" s="16" t="s">
        <v>45</v>
      </c>
      <c r="C9" s="16" t="s">
        <v>89</v>
      </c>
      <c r="D9" s="16" t="s">
        <v>83</v>
      </c>
      <c r="E9" s="16" t="s">
        <v>11</v>
      </c>
      <c r="F9" s="16">
        <v>39000</v>
      </c>
      <c r="G9" s="16" t="s">
        <v>80</v>
      </c>
    </row>
    <row r="10" spans="1:15" x14ac:dyDescent="0.3">
      <c r="A10" s="17" t="s">
        <v>94</v>
      </c>
      <c r="B10" s="16" t="s">
        <v>49</v>
      </c>
      <c r="C10" s="16" t="s">
        <v>78</v>
      </c>
      <c r="D10" s="16" t="s">
        <v>79</v>
      </c>
      <c r="E10" s="16" t="s">
        <v>32</v>
      </c>
      <c r="F10" s="16">
        <v>62000</v>
      </c>
      <c r="G10" s="16" t="s">
        <v>86</v>
      </c>
    </row>
    <row r="11" spans="1:15" x14ac:dyDescent="0.3">
      <c r="A11" s="17" t="s">
        <v>95</v>
      </c>
      <c r="B11" s="16" t="s">
        <v>96</v>
      </c>
      <c r="C11" s="16" t="s">
        <v>82</v>
      </c>
      <c r="D11" s="16" t="s">
        <v>83</v>
      </c>
      <c r="E11" s="16" t="s">
        <v>17</v>
      </c>
      <c r="F11" s="16">
        <v>44000</v>
      </c>
      <c r="G11" s="16" t="s">
        <v>80</v>
      </c>
    </row>
    <row r="12" spans="1:15" x14ac:dyDescent="0.3">
      <c r="A12" s="17" t="s">
        <v>97</v>
      </c>
      <c r="B12" s="16" t="s">
        <v>57</v>
      </c>
      <c r="C12" s="16" t="s">
        <v>85</v>
      </c>
      <c r="D12" s="16" t="s">
        <v>79</v>
      </c>
      <c r="E12" s="16" t="s">
        <v>11</v>
      </c>
      <c r="F12" s="16">
        <v>58000</v>
      </c>
      <c r="G12" s="16" t="s">
        <v>80</v>
      </c>
    </row>
    <row r="13" spans="1:15" x14ac:dyDescent="0.3">
      <c r="A13" s="17" t="s">
        <v>98</v>
      </c>
      <c r="B13" s="16" t="s">
        <v>61</v>
      </c>
      <c r="C13" s="16" t="s">
        <v>89</v>
      </c>
      <c r="D13" s="16" t="s">
        <v>83</v>
      </c>
      <c r="E13" s="16" t="s">
        <v>52</v>
      </c>
      <c r="F13" s="16">
        <v>42000</v>
      </c>
      <c r="G13" s="16" t="s">
        <v>86</v>
      </c>
    </row>
    <row r="14" spans="1:15" x14ac:dyDescent="0.3">
      <c r="A14" s="17" t="s">
        <v>99</v>
      </c>
      <c r="B14" s="16" t="s">
        <v>100</v>
      </c>
      <c r="C14" s="16" t="s">
        <v>78</v>
      </c>
      <c r="D14" s="16" t="s">
        <v>79</v>
      </c>
      <c r="E14" s="16" t="s">
        <v>22</v>
      </c>
      <c r="F14" s="16">
        <v>61000</v>
      </c>
      <c r="G14" s="16" t="s">
        <v>80</v>
      </c>
    </row>
    <row r="15" spans="1:15" x14ac:dyDescent="0.3">
      <c r="A15" s="17" t="s">
        <v>101</v>
      </c>
      <c r="B15" s="16" t="s">
        <v>102</v>
      </c>
      <c r="C15" s="16" t="s">
        <v>82</v>
      </c>
      <c r="D15" s="16" t="s">
        <v>83</v>
      </c>
      <c r="E15" s="16" t="s">
        <v>91</v>
      </c>
      <c r="F15" s="16">
        <v>46000</v>
      </c>
      <c r="G15" s="16" t="s">
        <v>80</v>
      </c>
    </row>
    <row r="16" spans="1:15" x14ac:dyDescent="0.3">
      <c r="A16" s="17" t="s">
        <v>103</v>
      </c>
      <c r="B16" s="16" t="s">
        <v>104</v>
      </c>
      <c r="C16" s="16" t="s">
        <v>85</v>
      </c>
      <c r="D16" s="16" t="s">
        <v>79</v>
      </c>
      <c r="E16" s="16" t="s">
        <v>32</v>
      </c>
      <c r="F16" s="16">
        <v>64000</v>
      </c>
      <c r="G16" s="16" t="s">
        <v>86</v>
      </c>
    </row>
    <row r="17" spans="1:7" x14ac:dyDescent="0.3">
      <c r="A17" s="17" t="s">
        <v>105</v>
      </c>
      <c r="B17" s="16" t="s">
        <v>106</v>
      </c>
      <c r="C17" s="16" t="s">
        <v>89</v>
      </c>
      <c r="D17" s="16" t="s">
        <v>83</v>
      </c>
      <c r="E17" s="16" t="s">
        <v>52</v>
      </c>
      <c r="F17" s="16">
        <v>41000</v>
      </c>
      <c r="G17" s="16" t="s">
        <v>80</v>
      </c>
    </row>
    <row r="18" spans="1:7" x14ac:dyDescent="0.3">
      <c r="A18" s="17" t="s">
        <v>107</v>
      </c>
      <c r="B18" s="16" t="s">
        <v>108</v>
      </c>
      <c r="C18" s="16" t="s">
        <v>78</v>
      </c>
      <c r="D18" s="16" t="s">
        <v>79</v>
      </c>
      <c r="E18" s="16" t="s">
        <v>11</v>
      </c>
      <c r="F18" s="16">
        <v>59000</v>
      </c>
      <c r="G18" s="16" t="s">
        <v>80</v>
      </c>
    </row>
    <row r="19" spans="1:7" x14ac:dyDescent="0.3">
      <c r="A19" s="17" t="s">
        <v>109</v>
      </c>
      <c r="B19" s="16" t="s">
        <v>110</v>
      </c>
      <c r="C19" s="16" t="s">
        <v>85</v>
      </c>
      <c r="D19" s="16" t="s">
        <v>83</v>
      </c>
      <c r="E19" s="16" t="s">
        <v>17</v>
      </c>
      <c r="F19" s="16">
        <v>55000</v>
      </c>
      <c r="G19" s="16" t="s">
        <v>80</v>
      </c>
    </row>
    <row r="20" spans="1:7" x14ac:dyDescent="0.3">
      <c r="A20" s="17" t="s">
        <v>111</v>
      </c>
      <c r="B20" s="16" t="s">
        <v>112</v>
      </c>
      <c r="C20" s="16" t="s">
        <v>89</v>
      </c>
      <c r="D20" s="16" t="s">
        <v>79</v>
      </c>
      <c r="E20" s="16" t="s">
        <v>32</v>
      </c>
      <c r="F20" s="16">
        <v>40000</v>
      </c>
      <c r="G20" s="16" t="s">
        <v>86</v>
      </c>
    </row>
    <row r="21" spans="1:7" x14ac:dyDescent="0.3">
      <c r="A21" s="17" t="s">
        <v>113</v>
      </c>
      <c r="B21" s="16" t="s">
        <v>114</v>
      </c>
      <c r="C21" s="16" t="s">
        <v>82</v>
      </c>
      <c r="D21" s="16" t="s">
        <v>83</v>
      </c>
      <c r="E21" s="16" t="s">
        <v>22</v>
      </c>
      <c r="F21" s="16">
        <v>47000</v>
      </c>
      <c r="G21" s="16" t="s">
        <v>80</v>
      </c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opLeftCell="A2" zoomScaleNormal="100" workbookViewId="0">
      <selection activeCell="J2" sqref="A2:J14"/>
    </sheetView>
  </sheetViews>
  <sheetFormatPr defaultRowHeight="14.4" x14ac:dyDescent="0.3"/>
  <cols>
    <col min="1" max="1" width="11.77734375" customWidth="1"/>
    <col min="2" max="2" width="15" customWidth="1"/>
    <col min="3" max="3" width="11.77734375" customWidth="1"/>
    <col min="4" max="4" width="14" customWidth="1"/>
    <col min="5" max="5" width="15.6640625" customWidth="1"/>
    <col min="6" max="6" width="15.5546875" customWidth="1"/>
    <col min="7" max="7" width="11.6640625" customWidth="1"/>
    <col min="9" max="9" width="11.77734375" customWidth="1"/>
    <col min="10" max="10" width="12.88671875" customWidth="1"/>
    <col min="12" max="12" width="14.44140625" bestFit="1" customWidth="1"/>
    <col min="13" max="13" width="13.6640625" customWidth="1"/>
    <col min="14" max="14" width="16.33203125" customWidth="1"/>
    <col min="15" max="15" width="15.6640625" bestFit="1" customWidth="1"/>
    <col min="16" max="16" width="11.109375" bestFit="1" customWidth="1"/>
    <col min="17" max="17" width="14.33203125" bestFit="1" customWidth="1"/>
    <col min="18" max="18" width="11.109375" bestFit="1" customWidth="1"/>
  </cols>
  <sheetData>
    <row r="1" spans="1:19" ht="25.8" x14ac:dyDescent="0.5">
      <c r="D1" s="23" t="s">
        <v>66</v>
      </c>
      <c r="E1" s="23"/>
      <c r="F1" s="23"/>
      <c r="G1" s="23"/>
      <c r="H1" s="23"/>
      <c r="I1" s="23"/>
      <c r="J1" s="23"/>
      <c r="L1" s="12" t="s">
        <v>67</v>
      </c>
      <c r="O1" s="24" t="s">
        <v>68</v>
      </c>
      <c r="P1" s="24"/>
    </row>
    <row r="2" spans="1:19" ht="28.8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62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L2" s="13" t="s">
        <v>2</v>
      </c>
      <c r="M2" s="14" t="s">
        <v>63</v>
      </c>
      <c r="N2" s="8"/>
      <c r="O2" s="4" t="s">
        <v>2</v>
      </c>
      <c r="P2" s="4" t="s">
        <v>4</v>
      </c>
      <c r="Q2" s="7" t="s">
        <v>63</v>
      </c>
      <c r="R2" s="9"/>
      <c r="S2" s="7"/>
    </row>
    <row r="3" spans="1:19" x14ac:dyDescent="0.3">
      <c r="A3" s="5" t="s">
        <v>9</v>
      </c>
      <c r="B3" s="6">
        <v>45293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>
        <v>2</v>
      </c>
      <c r="I3" s="5">
        <v>55000</v>
      </c>
      <c r="J3" s="5">
        <v>110000</v>
      </c>
      <c r="L3" s="5" t="s">
        <v>10</v>
      </c>
      <c r="M3" s="5">
        <f>SUMIF($C:$C,L3,$J:$J)</f>
        <v>230000</v>
      </c>
      <c r="N3" s="8"/>
      <c r="O3" s="5" t="s">
        <v>10</v>
      </c>
      <c r="P3" s="5" t="s">
        <v>13</v>
      </c>
      <c r="Q3" s="8">
        <f>SUMIFS(J2:$J$14,C2:$C$14,O3,P2:$P$14,P3)</f>
        <v>150000</v>
      </c>
      <c r="R3" s="9"/>
      <c r="S3" s="8"/>
    </row>
    <row r="4" spans="1:19" ht="28.8" x14ac:dyDescent="0.3">
      <c r="A4" s="5" t="s">
        <v>15</v>
      </c>
      <c r="B4" s="6">
        <v>45294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14</v>
      </c>
      <c r="H4" s="5">
        <v>5</v>
      </c>
      <c r="I4" s="5">
        <v>2000</v>
      </c>
      <c r="J4" s="5">
        <v>10000</v>
      </c>
      <c r="L4" s="5" t="s">
        <v>16</v>
      </c>
      <c r="M4" s="5">
        <f>SUMIF($C:$C,L4,$J:$J)</f>
        <v>24400</v>
      </c>
      <c r="N4" s="8"/>
      <c r="O4" s="5" t="s">
        <v>16</v>
      </c>
      <c r="P4" s="5" t="s">
        <v>19</v>
      </c>
      <c r="Q4" s="8">
        <f>SUMIFS(J3:$J$14,C3:$C$14,O4,P3:$P$14,P4)</f>
        <v>10000</v>
      </c>
      <c r="R4" s="10"/>
      <c r="S4" s="8"/>
    </row>
    <row r="5" spans="1:19" x14ac:dyDescent="0.3">
      <c r="A5" s="5" t="s">
        <v>20</v>
      </c>
      <c r="B5" s="6">
        <v>45296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>
        <v>4</v>
      </c>
      <c r="I5" s="5">
        <v>3500</v>
      </c>
      <c r="J5" s="5">
        <v>14000</v>
      </c>
      <c r="L5" s="5" t="s">
        <v>21</v>
      </c>
      <c r="M5" s="5">
        <f>SUMIF($C:$C,L5,$J:$J)</f>
        <v>56000</v>
      </c>
      <c r="N5" s="8"/>
      <c r="O5" s="5" t="s">
        <v>21</v>
      </c>
      <c r="P5" s="5" t="s">
        <v>24</v>
      </c>
      <c r="Q5" s="8">
        <f>SUMIFS(J4:$J$14,C4:$C$14,O5,P4:$P$14,P5)</f>
        <v>14000</v>
      </c>
      <c r="R5" s="10"/>
      <c r="S5" s="8"/>
    </row>
    <row r="6" spans="1:19" x14ac:dyDescent="0.3">
      <c r="A6" s="5" t="s">
        <v>26</v>
      </c>
      <c r="B6" s="6">
        <v>45297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25</v>
      </c>
      <c r="H6" s="5">
        <v>3</v>
      </c>
      <c r="I6" s="5">
        <v>5000</v>
      </c>
      <c r="J6" s="5">
        <v>15000</v>
      </c>
      <c r="L6" s="5" t="s">
        <v>27</v>
      </c>
      <c r="M6" s="5">
        <f>SUMIF($C:$C,L6,$J:$J)</f>
        <v>21000</v>
      </c>
      <c r="N6" s="8"/>
      <c r="O6" s="5" t="s">
        <v>27</v>
      </c>
      <c r="P6" s="5" t="s">
        <v>30</v>
      </c>
      <c r="Q6" s="8">
        <f>SUMIFS(J5:$J$14,C5:$C$14,O6,P5:$P$14,P6)</f>
        <v>15000</v>
      </c>
      <c r="R6" s="10"/>
      <c r="S6" s="8"/>
    </row>
    <row r="7" spans="1:19" ht="28.8" x14ac:dyDescent="0.3">
      <c r="A7" s="5" t="s">
        <v>31</v>
      </c>
      <c r="B7" s="6">
        <v>45298</v>
      </c>
      <c r="C7" s="5" t="s">
        <v>10</v>
      </c>
      <c r="D7" s="5" t="s">
        <v>32</v>
      </c>
      <c r="E7" s="5" t="s">
        <v>69</v>
      </c>
      <c r="F7" s="5" t="s">
        <v>34</v>
      </c>
      <c r="G7" s="5" t="s">
        <v>14</v>
      </c>
      <c r="H7" s="5">
        <v>4</v>
      </c>
      <c r="I7" s="5">
        <v>18000</v>
      </c>
      <c r="J7" s="5">
        <v>72000</v>
      </c>
      <c r="L7" s="11" t="s">
        <v>64</v>
      </c>
      <c r="M7" s="8">
        <f>SUM(M3:M6)</f>
        <v>331400</v>
      </c>
      <c r="N7" s="8"/>
      <c r="O7" s="5" t="s">
        <v>10</v>
      </c>
      <c r="P7" s="5" t="s">
        <v>34</v>
      </c>
      <c r="Q7" s="8">
        <f>SUMIFS(J6:$J$14,C6:$C$14,O7,P6:$P$14,P7)</f>
        <v>72000</v>
      </c>
      <c r="R7" s="10"/>
      <c r="S7" s="10"/>
    </row>
    <row r="8" spans="1:19" x14ac:dyDescent="0.3">
      <c r="A8" s="5" t="s">
        <v>35</v>
      </c>
      <c r="B8" s="6">
        <v>45300</v>
      </c>
      <c r="C8" s="5" t="s">
        <v>21</v>
      </c>
      <c r="D8" s="5" t="s">
        <v>36</v>
      </c>
      <c r="E8" s="5" t="s">
        <v>37</v>
      </c>
      <c r="F8" s="5" t="s">
        <v>38</v>
      </c>
      <c r="G8" s="5" t="s">
        <v>14</v>
      </c>
      <c r="H8" s="5">
        <v>2</v>
      </c>
      <c r="I8" s="5">
        <v>12000</v>
      </c>
      <c r="J8" s="5">
        <v>24000</v>
      </c>
      <c r="N8" s="8"/>
      <c r="O8" s="5" t="s">
        <v>21</v>
      </c>
      <c r="P8" s="5" t="s">
        <v>38</v>
      </c>
      <c r="Q8" s="8">
        <f>SUMIFS(J7:$J$14,C7:$C$14,O8,P7:$P$14,P8)</f>
        <v>24000</v>
      </c>
      <c r="R8" s="10"/>
      <c r="S8" s="10"/>
    </row>
    <row r="9" spans="1:19" x14ac:dyDescent="0.3">
      <c r="A9" s="5" t="s">
        <v>39</v>
      </c>
      <c r="B9" s="6">
        <v>45302</v>
      </c>
      <c r="C9" s="5" t="s">
        <v>16</v>
      </c>
      <c r="D9" s="5" t="s">
        <v>40</v>
      </c>
      <c r="E9" s="5" t="s">
        <v>41</v>
      </c>
      <c r="F9" s="5" t="s">
        <v>42</v>
      </c>
      <c r="G9" s="5" t="s">
        <v>25</v>
      </c>
      <c r="H9" s="5">
        <v>2</v>
      </c>
      <c r="I9" s="5">
        <v>4200</v>
      </c>
      <c r="J9" s="5">
        <v>8400</v>
      </c>
      <c r="L9" s="4" t="s">
        <v>3</v>
      </c>
      <c r="M9" t="s">
        <v>65</v>
      </c>
      <c r="N9" s="8"/>
      <c r="O9" s="5" t="s">
        <v>16</v>
      </c>
      <c r="P9" s="5" t="s">
        <v>42</v>
      </c>
      <c r="Q9" s="8">
        <f>SUMIFS(J8:$J$14,C8:$C$14,O9,P8:$P$14,P9)</f>
        <v>8400</v>
      </c>
      <c r="R9" s="10"/>
      <c r="S9" s="10"/>
    </row>
    <row r="10" spans="1:19" x14ac:dyDescent="0.3">
      <c r="A10" s="5" t="s">
        <v>43</v>
      </c>
      <c r="B10" s="6">
        <v>45303</v>
      </c>
      <c r="C10" s="5" t="s">
        <v>10</v>
      </c>
      <c r="D10" s="5" t="s">
        <v>44</v>
      </c>
      <c r="E10" s="5" t="s">
        <v>45</v>
      </c>
      <c r="F10" s="5" t="s">
        <v>46</v>
      </c>
      <c r="G10" s="5" t="s">
        <v>47</v>
      </c>
      <c r="H10" s="5">
        <v>10</v>
      </c>
      <c r="I10" s="5">
        <v>800</v>
      </c>
      <c r="J10" s="5">
        <v>8000</v>
      </c>
      <c r="L10" s="5" t="s">
        <v>11</v>
      </c>
      <c r="M10">
        <f>SUMIF($D:$D,L10,$H:$H)</f>
        <v>6</v>
      </c>
      <c r="N10" s="8"/>
      <c r="O10" s="5" t="s">
        <v>10</v>
      </c>
      <c r="P10" s="5" t="s">
        <v>46</v>
      </c>
      <c r="Q10" s="8">
        <f>SUMIFS(J9:$J$14,C9:$C$14,O10,P9:$P$14,P10)</f>
        <v>8000</v>
      </c>
      <c r="R10" s="10"/>
      <c r="S10" s="10"/>
    </row>
    <row r="11" spans="1:19" x14ac:dyDescent="0.3">
      <c r="A11" s="5" t="s">
        <v>48</v>
      </c>
      <c r="B11" s="6">
        <v>45304</v>
      </c>
      <c r="C11" s="5" t="s">
        <v>27</v>
      </c>
      <c r="D11" s="5" t="s">
        <v>11</v>
      </c>
      <c r="E11" s="5" t="s">
        <v>49</v>
      </c>
      <c r="F11" s="5" t="s">
        <v>50</v>
      </c>
      <c r="G11" s="5" t="s">
        <v>14</v>
      </c>
      <c r="H11" s="5">
        <v>4</v>
      </c>
      <c r="I11" s="5">
        <v>1500</v>
      </c>
      <c r="J11" s="5">
        <v>6000</v>
      </c>
      <c r="L11" s="5" t="s">
        <v>17</v>
      </c>
      <c r="M11">
        <f t="shared" ref="M11:M21" si="0">SUMIF($D:$D,L11,$H:$H)</f>
        <v>5</v>
      </c>
      <c r="N11" s="8"/>
      <c r="O11" s="5" t="s">
        <v>27</v>
      </c>
      <c r="P11" s="5" t="s">
        <v>50</v>
      </c>
      <c r="Q11" s="8">
        <f>SUMIFS(J10:$J$14,C10:$C$14,O11,P10:$P$14,P11)</f>
        <v>6000</v>
      </c>
      <c r="R11" s="10"/>
      <c r="S11" s="10"/>
    </row>
    <row r="12" spans="1:19" x14ac:dyDescent="0.3">
      <c r="A12" s="5" t="s">
        <v>51</v>
      </c>
      <c r="B12" s="6">
        <v>45305</v>
      </c>
      <c r="C12" s="5" t="s">
        <v>16</v>
      </c>
      <c r="D12" s="5" t="s">
        <v>52</v>
      </c>
      <c r="E12" s="5" t="s">
        <v>53</v>
      </c>
      <c r="F12" s="5" t="s">
        <v>54</v>
      </c>
      <c r="G12" s="5" t="s">
        <v>14</v>
      </c>
      <c r="H12" s="5">
        <v>6</v>
      </c>
      <c r="I12" s="5">
        <v>1000</v>
      </c>
      <c r="J12" s="5">
        <v>6000</v>
      </c>
      <c r="L12" s="5" t="s">
        <v>22</v>
      </c>
      <c r="M12">
        <f t="shared" si="0"/>
        <v>4</v>
      </c>
      <c r="N12" s="8"/>
      <c r="O12" s="5" t="s">
        <v>16</v>
      </c>
      <c r="P12" s="5" t="s">
        <v>54</v>
      </c>
      <c r="Q12" s="8">
        <f>SUMIFS(J11:$J$14,C11:$C$14,O12,P11:$P$14,P12)</f>
        <v>6000</v>
      </c>
      <c r="R12" s="10"/>
      <c r="S12" s="10"/>
    </row>
    <row r="13" spans="1:19" x14ac:dyDescent="0.3">
      <c r="A13" s="5" t="s">
        <v>55</v>
      </c>
      <c r="B13" s="6">
        <v>45306</v>
      </c>
      <c r="C13" s="5" t="s">
        <v>21</v>
      </c>
      <c r="D13" s="5" t="s">
        <v>56</v>
      </c>
      <c r="E13" s="5" t="s">
        <v>57</v>
      </c>
      <c r="F13" s="5" t="s">
        <v>58</v>
      </c>
      <c r="G13" s="5" t="s">
        <v>14</v>
      </c>
      <c r="H13" s="5">
        <v>1</v>
      </c>
      <c r="I13" s="5">
        <v>18000</v>
      </c>
      <c r="J13" s="5">
        <v>18000</v>
      </c>
      <c r="L13" s="5" t="s">
        <v>28</v>
      </c>
      <c r="M13">
        <f t="shared" si="0"/>
        <v>3</v>
      </c>
      <c r="N13" s="8"/>
      <c r="O13" s="5" t="s">
        <v>21</v>
      </c>
      <c r="P13" s="5" t="s">
        <v>58</v>
      </c>
      <c r="Q13" s="8">
        <f>SUMIFS(J12:$J$14,C12:$C$14,O13,P12:$P$14,P13)</f>
        <v>18000</v>
      </c>
      <c r="R13" s="10"/>
      <c r="S13" s="10"/>
    </row>
    <row r="14" spans="1:19" x14ac:dyDescent="0.3">
      <c r="A14" s="5" t="s">
        <v>59</v>
      </c>
      <c r="B14" s="6">
        <v>45307</v>
      </c>
      <c r="C14" s="5" t="s">
        <v>10</v>
      </c>
      <c r="D14" s="5" t="s">
        <v>60</v>
      </c>
      <c r="E14" s="5" t="s">
        <v>61</v>
      </c>
      <c r="F14" s="5" t="s">
        <v>13</v>
      </c>
      <c r="G14" s="5" t="s">
        <v>25</v>
      </c>
      <c r="H14" s="5">
        <v>5</v>
      </c>
      <c r="I14" s="5">
        <v>8000</v>
      </c>
      <c r="J14" s="5">
        <v>40000</v>
      </c>
      <c r="L14" s="5" t="s">
        <v>32</v>
      </c>
      <c r="M14">
        <f t="shared" si="0"/>
        <v>4</v>
      </c>
      <c r="N14" s="8"/>
      <c r="O14" s="5" t="s">
        <v>10</v>
      </c>
      <c r="P14" s="5" t="s">
        <v>13</v>
      </c>
      <c r="Q14" s="8">
        <f>SUMIFS(J13:$J$14,C13:$C$14,O14,P13:$P$14,P14)</f>
        <v>40000</v>
      </c>
      <c r="R14" s="10"/>
      <c r="S14" s="10"/>
    </row>
    <row r="15" spans="1:19" x14ac:dyDescent="0.3">
      <c r="A15" s="2"/>
      <c r="B15" s="3"/>
      <c r="C15" s="2"/>
      <c r="D15" s="2"/>
      <c r="E15" s="2"/>
      <c r="F15" s="2"/>
      <c r="G15" s="2"/>
      <c r="H15" s="2"/>
      <c r="I15" s="2"/>
      <c r="J15" s="2"/>
      <c r="L15" s="5" t="s">
        <v>36</v>
      </c>
      <c r="M15">
        <f t="shared" si="0"/>
        <v>2</v>
      </c>
      <c r="P15" s="2"/>
    </row>
    <row r="16" spans="1:19" x14ac:dyDescent="0.3">
      <c r="A16" s="2"/>
      <c r="B16" s="3"/>
      <c r="C16" s="2"/>
      <c r="D16" s="2"/>
      <c r="E16" s="2"/>
      <c r="F16" s="2"/>
      <c r="G16" s="2"/>
      <c r="H16" s="2"/>
      <c r="I16" s="2"/>
      <c r="J16" s="2"/>
      <c r="L16" s="5" t="s">
        <v>40</v>
      </c>
      <c r="M16">
        <f t="shared" si="0"/>
        <v>2</v>
      </c>
      <c r="P16" s="2"/>
    </row>
    <row r="17" spans="1:16" x14ac:dyDescent="0.3">
      <c r="A17" s="2"/>
      <c r="B17" s="3"/>
      <c r="C17" s="2"/>
      <c r="D17" s="2"/>
      <c r="E17" s="2"/>
      <c r="F17" s="2"/>
      <c r="G17" s="2"/>
      <c r="H17" s="2"/>
      <c r="I17" s="2"/>
      <c r="J17" s="2"/>
      <c r="L17" s="5" t="s">
        <v>44</v>
      </c>
      <c r="M17">
        <f t="shared" si="0"/>
        <v>10</v>
      </c>
      <c r="P17" s="2"/>
    </row>
    <row r="18" spans="1:16" x14ac:dyDescent="0.3">
      <c r="A18" s="2"/>
      <c r="B18" s="3"/>
      <c r="C18" s="2"/>
      <c r="D18" s="2"/>
      <c r="E18" s="2"/>
      <c r="F18" s="2"/>
      <c r="G18" s="2"/>
      <c r="H18" s="2"/>
      <c r="I18" s="2"/>
      <c r="J18" s="2"/>
      <c r="L18" s="5" t="s">
        <v>11</v>
      </c>
      <c r="M18">
        <f t="shared" si="0"/>
        <v>6</v>
      </c>
      <c r="P18" s="2"/>
    </row>
    <row r="19" spans="1:16" x14ac:dyDescent="0.3">
      <c r="A19" s="2"/>
      <c r="B19" s="3"/>
      <c r="C19" s="2"/>
      <c r="D19" s="2"/>
      <c r="E19" s="2"/>
      <c r="F19" s="2"/>
      <c r="G19" s="2"/>
      <c r="H19" s="2"/>
      <c r="I19" s="2"/>
      <c r="J19" s="2"/>
      <c r="L19" s="5" t="s">
        <v>52</v>
      </c>
      <c r="M19">
        <f t="shared" si="0"/>
        <v>6</v>
      </c>
      <c r="P19" s="2"/>
    </row>
    <row r="20" spans="1:16" x14ac:dyDescent="0.3">
      <c r="A20" s="2"/>
      <c r="B20" s="3"/>
      <c r="C20" s="2"/>
      <c r="D20" s="2"/>
      <c r="E20" s="2"/>
      <c r="F20" s="2"/>
      <c r="G20" s="2"/>
      <c r="H20" s="2"/>
      <c r="I20" s="2"/>
      <c r="J20" s="2"/>
      <c r="L20" s="5" t="s">
        <v>56</v>
      </c>
      <c r="M20">
        <f t="shared" si="0"/>
        <v>1</v>
      </c>
      <c r="P20" s="2"/>
    </row>
    <row r="21" spans="1:16" x14ac:dyDescent="0.3">
      <c r="A21" s="2"/>
      <c r="B21" s="3"/>
      <c r="C21" s="2"/>
      <c r="D21" s="2"/>
      <c r="E21" s="2"/>
      <c r="F21" s="2"/>
      <c r="G21" s="2"/>
      <c r="H21" s="2"/>
      <c r="I21" s="2"/>
      <c r="J21" s="2"/>
      <c r="L21" s="5" t="s">
        <v>60</v>
      </c>
      <c r="M21">
        <f t="shared" si="0"/>
        <v>5</v>
      </c>
      <c r="P21" s="2"/>
    </row>
    <row r="22" spans="1:16" x14ac:dyDescent="0.3">
      <c r="A22" s="2"/>
      <c r="B22" s="3"/>
      <c r="C22" s="2"/>
      <c r="D22" s="2"/>
      <c r="E22" s="2"/>
      <c r="F22" s="2"/>
      <c r="G22" s="2"/>
      <c r="H22" s="2"/>
      <c r="I22" s="2"/>
      <c r="J22" s="2"/>
    </row>
  </sheetData>
  <mergeCells count="2">
    <mergeCell ref="D1:J1"/>
    <mergeCell ref="O1:P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zoomScale="80" zoomScaleNormal="80" workbookViewId="0">
      <selection activeCell="J2" sqref="A2:J14"/>
    </sheetView>
  </sheetViews>
  <sheetFormatPr defaultRowHeight="14.4" x14ac:dyDescent="0.3"/>
  <cols>
    <col min="2" max="2" width="10.33203125" bestFit="1" customWidth="1"/>
    <col min="4" max="4" width="13.6640625" customWidth="1"/>
    <col min="5" max="5" width="13.44140625" customWidth="1"/>
    <col min="7" max="7" width="12.77734375" customWidth="1"/>
    <col min="9" max="9" width="10" customWidth="1"/>
    <col min="13" max="13" width="12" bestFit="1" customWidth="1"/>
    <col min="16" max="16" width="14.88671875" customWidth="1"/>
  </cols>
  <sheetData>
    <row r="1" spans="1:17" x14ac:dyDescent="0.3">
      <c r="L1" s="25" t="s">
        <v>118</v>
      </c>
      <c r="M1" s="25"/>
      <c r="O1" s="26" t="s">
        <v>119</v>
      </c>
      <c r="P1" s="26"/>
    </row>
    <row r="2" spans="1:17" ht="28.8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62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L2" s="4" t="s">
        <v>2</v>
      </c>
      <c r="M2" s="18" t="s">
        <v>117</v>
      </c>
      <c r="O2" s="4" t="s">
        <v>2</v>
      </c>
      <c r="P2" s="4" t="s">
        <v>4</v>
      </c>
      <c r="Q2" s="19" t="s">
        <v>117</v>
      </c>
    </row>
    <row r="3" spans="1:17" x14ac:dyDescent="0.3">
      <c r="A3" s="5" t="s">
        <v>9</v>
      </c>
      <c r="B3" s="6">
        <v>45293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>
        <v>2</v>
      </c>
      <c r="I3" s="5">
        <v>55000</v>
      </c>
      <c r="J3" s="5">
        <v>110000</v>
      </c>
      <c r="L3" s="5" t="s">
        <v>10</v>
      </c>
      <c r="M3">
        <f>AVERAGEIF(C:C,C3,J:J)</f>
        <v>57500</v>
      </c>
      <c r="O3" s="5" t="s">
        <v>10</v>
      </c>
      <c r="P3" s="5" t="s">
        <v>13</v>
      </c>
      <c r="Q3">
        <f>AVERAGEIFS(J:J,C:C,C3,F:F,F3)</f>
        <v>75000</v>
      </c>
    </row>
    <row r="4" spans="1:17" ht="28.8" x14ac:dyDescent="0.3">
      <c r="A4" s="5" t="s">
        <v>15</v>
      </c>
      <c r="B4" s="6">
        <v>45294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14</v>
      </c>
      <c r="H4" s="5">
        <v>5</v>
      </c>
      <c r="I4" s="5">
        <v>2000</v>
      </c>
      <c r="J4" s="5">
        <v>10000</v>
      </c>
      <c r="L4" s="5" t="s">
        <v>16</v>
      </c>
      <c r="M4">
        <f t="shared" ref="M4:M6" si="0">AVERAGEIF(C:C,C4,J:J)</f>
        <v>8133.333333333333</v>
      </c>
      <c r="O4" s="5" t="s">
        <v>16</v>
      </c>
      <c r="P4" s="5" t="s">
        <v>19</v>
      </c>
      <c r="Q4">
        <f t="shared" ref="Q4:Q13" si="1">AVERAGEIFS(J:J,C:C,C4,F:F,F4)</f>
        <v>10000</v>
      </c>
    </row>
    <row r="5" spans="1:17" x14ac:dyDescent="0.3">
      <c r="A5" s="5" t="s">
        <v>20</v>
      </c>
      <c r="B5" s="6">
        <v>45296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>
        <v>4</v>
      </c>
      <c r="I5" s="5">
        <v>3500</v>
      </c>
      <c r="J5" s="5">
        <v>14000</v>
      </c>
      <c r="L5" s="5" t="s">
        <v>21</v>
      </c>
      <c r="M5">
        <f t="shared" si="0"/>
        <v>18666.666666666668</v>
      </c>
      <c r="O5" s="5" t="s">
        <v>21</v>
      </c>
      <c r="P5" s="5" t="s">
        <v>24</v>
      </c>
      <c r="Q5">
        <f t="shared" si="1"/>
        <v>14000</v>
      </c>
    </row>
    <row r="6" spans="1:17" x14ac:dyDescent="0.3">
      <c r="A6" s="5" t="s">
        <v>26</v>
      </c>
      <c r="B6" s="6">
        <v>45297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25</v>
      </c>
      <c r="H6" s="5">
        <v>3</v>
      </c>
      <c r="I6" s="5">
        <v>5000</v>
      </c>
      <c r="J6" s="5">
        <v>15000</v>
      </c>
      <c r="L6" s="5" t="s">
        <v>27</v>
      </c>
      <c r="M6">
        <f t="shared" si="0"/>
        <v>10500</v>
      </c>
      <c r="O6" s="5" t="s">
        <v>27</v>
      </c>
      <c r="P6" s="5" t="s">
        <v>30</v>
      </c>
      <c r="Q6">
        <f t="shared" si="1"/>
        <v>15000</v>
      </c>
    </row>
    <row r="7" spans="1:17" ht="28.8" x14ac:dyDescent="0.3">
      <c r="A7" s="5" t="s">
        <v>31</v>
      </c>
      <c r="B7" s="6">
        <v>45298</v>
      </c>
      <c r="C7" s="5" t="s">
        <v>10</v>
      </c>
      <c r="D7" s="5" t="s">
        <v>32</v>
      </c>
      <c r="E7" s="5" t="s">
        <v>69</v>
      </c>
      <c r="F7" s="5" t="s">
        <v>34</v>
      </c>
      <c r="G7" s="5" t="s">
        <v>14</v>
      </c>
      <c r="H7" s="5">
        <v>4</v>
      </c>
      <c r="I7" s="5">
        <v>18000</v>
      </c>
      <c r="J7" s="5">
        <v>72000</v>
      </c>
      <c r="P7" s="5" t="s">
        <v>34</v>
      </c>
      <c r="Q7">
        <f t="shared" si="1"/>
        <v>72000</v>
      </c>
    </row>
    <row r="8" spans="1:17" x14ac:dyDescent="0.3">
      <c r="A8" s="5" t="s">
        <v>35</v>
      </c>
      <c r="B8" s="6">
        <v>45300</v>
      </c>
      <c r="C8" s="5" t="s">
        <v>21</v>
      </c>
      <c r="D8" s="5" t="s">
        <v>36</v>
      </c>
      <c r="E8" s="5" t="s">
        <v>37</v>
      </c>
      <c r="F8" s="5" t="s">
        <v>38</v>
      </c>
      <c r="G8" s="5" t="s">
        <v>14</v>
      </c>
      <c r="H8" s="5">
        <v>2</v>
      </c>
      <c r="I8" s="5">
        <v>12000</v>
      </c>
      <c r="J8" s="5">
        <v>24000</v>
      </c>
      <c r="P8" s="5" t="s">
        <v>38</v>
      </c>
      <c r="Q8">
        <f t="shared" si="1"/>
        <v>24000</v>
      </c>
    </row>
    <row r="9" spans="1:17" ht="28.8" x14ac:dyDescent="0.3">
      <c r="A9" s="5" t="s">
        <v>39</v>
      </c>
      <c r="B9" s="6">
        <v>45302</v>
      </c>
      <c r="C9" s="5" t="s">
        <v>16</v>
      </c>
      <c r="D9" s="5" t="s">
        <v>40</v>
      </c>
      <c r="E9" s="5" t="s">
        <v>41</v>
      </c>
      <c r="F9" s="5" t="s">
        <v>42</v>
      </c>
      <c r="G9" s="5" t="s">
        <v>25</v>
      </c>
      <c r="H9" s="5">
        <v>2</v>
      </c>
      <c r="I9" s="5">
        <v>4200</v>
      </c>
      <c r="J9" s="5">
        <v>8400</v>
      </c>
      <c r="P9" s="5" t="s">
        <v>42</v>
      </c>
      <c r="Q9">
        <f t="shared" si="1"/>
        <v>8400</v>
      </c>
    </row>
    <row r="10" spans="1:17" ht="28.8" x14ac:dyDescent="0.3">
      <c r="A10" s="5" t="s">
        <v>43</v>
      </c>
      <c r="B10" s="6">
        <v>45303</v>
      </c>
      <c r="C10" s="5" t="s">
        <v>10</v>
      </c>
      <c r="D10" s="5" t="s">
        <v>44</v>
      </c>
      <c r="E10" s="5" t="s">
        <v>45</v>
      </c>
      <c r="F10" s="5" t="s">
        <v>46</v>
      </c>
      <c r="G10" s="5" t="s">
        <v>47</v>
      </c>
      <c r="H10" s="5">
        <v>10</v>
      </c>
      <c r="I10" s="5">
        <v>800</v>
      </c>
      <c r="J10" s="5">
        <v>8000</v>
      </c>
      <c r="P10" s="5" t="s">
        <v>46</v>
      </c>
      <c r="Q10">
        <f t="shared" si="1"/>
        <v>8000</v>
      </c>
    </row>
    <row r="11" spans="1:17" ht="28.8" x14ac:dyDescent="0.3">
      <c r="A11" s="5" t="s">
        <v>48</v>
      </c>
      <c r="B11" s="6">
        <v>45304</v>
      </c>
      <c r="C11" s="5" t="s">
        <v>27</v>
      </c>
      <c r="D11" s="5" t="s">
        <v>11</v>
      </c>
      <c r="E11" s="5" t="s">
        <v>49</v>
      </c>
      <c r="F11" s="5" t="s">
        <v>50</v>
      </c>
      <c r="G11" s="5" t="s">
        <v>14</v>
      </c>
      <c r="H11" s="5">
        <v>4</v>
      </c>
      <c r="I11" s="5">
        <v>1500</v>
      </c>
      <c r="J11" s="5">
        <v>6000</v>
      </c>
      <c r="P11" s="5" t="s">
        <v>50</v>
      </c>
      <c r="Q11">
        <f t="shared" si="1"/>
        <v>6000</v>
      </c>
    </row>
    <row r="12" spans="1:17" x14ac:dyDescent="0.3">
      <c r="A12" s="5" t="s">
        <v>51</v>
      </c>
      <c r="B12" s="6">
        <v>45305</v>
      </c>
      <c r="C12" s="5" t="s">
        <v>16</v>
      </c>
      <c r="D12" s="5" t="s">
        <v>52</v>
      </c>
      <c r="E12" s="5" t="s">
        <v>53</v>
      </c>
      <c r="F12" s="5" t="s">
        <v>54</v>
      </c>
      <c r="G12" s="5" t="s">
        <v>14</v>
      </c>
      <c r="H12" s="5">
        <v>6</v>
      </c>
      <c r="I12" s="5">
        <v>1000</v>
      </c>
      <c r="J12" s="5">
        <v>6000</v>
      </c>
      <c r="P12" s="5" t="s">
        <v>54</v>
      </c>
      <c r="Q12">
        <f t="shared" si="1"/>
        <v>6000</v>
      </c>
    </row>
    <row r="13" spans="1:17" x14ac:dyDescent="0.3">
      <c r="A13" s="5" t="s">
        <v>55</v>
      </c>
      <c r="B13" s="6">
        <v>45306</v>
      </c>
      <c r="C13" s="5" t="s">
        <v>21</v>
      </c>
      <c r="D13" s="5" t="s">
        <v>56</v>
      </c>
      <c r="E13" s="5" t="s">
        <v>57</v>
      </c>
      <c r="F13" s="5" t="s">
        <v>58</v>
      </c>
      <c r="G13" s="5" t="s">
        <v>14</v>
      </c>
      <c r="H13" s="5">
        <v>1</v>
      </c>
      <c r="I13" s="5">
        <v>18000</v>
      </c>
      <c r="J13" s="5">
        <v>18000</v>
      </c>
      <c r="P13" s="5" t="s">
        <v>58</v>
      </c>
      <c r="Q13">
        <f t="shared" si="1"/>
        <v>18000</v>
      </c>
    </row>
    <row r="14" spans="1:17" x14ac:dyDescent="0.3">
      <c r="A14" s="5" t="s">
        <v>59</v>
      </c>
      <c r="B14" s="6">
        <v>45307</v>
      </c>
      <c r="C14" s="5" t="s">
        <v>10</v>
      </c>
      <c r="D14" s="5" t="s">
        <v>60</v>
      </c>
      <c r="E14" s="5" t="s">
        <v>61</v>
      </c>
      <c r="F14" s="5" t="s">
        <v>13</v>
      </c>
      <c r="G14" s="5" t="s">
        <v>25</v>
      </c>
      <c r="H14" s="5">
        <v>5</v>
      </c>
      <c r="I14" s="5">
        <v>8000</v>
      </c>
      <c r="J14" s="5">
        <v>40000</v>
      </c>
    </row>
  </sheetData>
  <mergeCells count="2">
    <mergeCell ref="L1:M1"/>
    <mergeCell ref="O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="90" zoomScaleNormal="90" workbookViewId="0">
      <selection activeCell="L10" sqref="L10"/>
    </sheetView>
  </sheetViews>
  <sheetFormatPr defaultRowHeight="14.4" x14ac:dyDescent="0.3"/>
  <cols>
    <col min="2" max="2" width="11.21875" bestFit="1" customWidth="1"/>
    <col min="5" max="5" width="13.88671875" customWidth="1"/>
    <col min="7" max="7" width="25.6640625" customWidth="1"/>
    <col min="12" max="12" width="10" bestFit="1" customWidth="1"/>
    <col min="13" max="13" width="12.5546875" bestFit="1" customWidth="1"/>
  </cols>
  <sheetData>
    <row r="1" spans="1:13" ht="28.8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62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L1" s="27" t="s">
        <v>120</v>
      </c>
      <c r="M1" s="28"/>
    </row>
    <row r="2" spans="1:13" x14ac:dyDescent="0.3">
      <c r="A2" s="5" t="s">
        <v>9</v>
      </c>
      <c r="B2" s="6">
        <v>45293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>
        <v>2</v>
      </c>
      <c r="I2" s="5">
        <v>55000</v>
      </c>
      <c r="J2" s="5">
        <v>110000</v>
      </c>
      <c r="L2" s="20" t="s">
        <v>2</v>
      </c>
      <c r="M2" s="21" t="s">
        <v>121</v>
      </c>
    </row>
    <row r="3" spans="1:13" ht="28.8" x14ac:dyDescent="0.3">
      <c r="A3" s="5" t="s">
        <v>15</v>
      </c>
      <c r="B3" s="6">
        <v>45294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14</v>
      </c>
      <c r="H3" s="5">
        <v>5</v>
      </c>
      <c r="I3" s="5">
        <v>2000</v>
      </c>
      <c r="J3" s="5">
        <v>10000</v>
      </c>
      <c r="L3" s="5" t="s">
        <v>10</v>
      </c>
      <c r="M3" s="22">
        <f>MAX($C:$C,$J:$J,$C$2)</f>
        <v>110000</v>
      </c>
    </row>
    <row r="4" spans="1:13" x14ac:dyDescent="0.3">
      <c r="A4" s="5" t="s">
        <v>20</v>
      </c>
      <c r="B4" s="6">
        <v>45296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>
        <v>4</v>
      </c>
      <c r="I4" s="5">
        <v>3500</v>
      </c>
      <c r="J4" s="5">
        <v>14000</v>
      </c>
      <c r="L4" s="5" t="s">
        <v>16</v>
      </c>
      <c r="M4" s="22">
        <f>MIN(J:J,C:C)</f>
        <v>6000</v>
      </c>
    </row>
    <row r="5" spans="1:13" x14ac:dyDescent="0.3">
      <c r="A5" s="5" t="s">
        <v>26</v>
      </c>
      <c r="B5" s="6">
        <v>45297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25</v>
      </c>
      <c r="H5" s="5">
        <v>3</v>
      </c>
      <c r="I5" s="5">
        <v>5000</v>
      </c>
      <c r="J5" s="5">
        <v>15000</v>
      </c>
      <c r="L5" s="5" t="s">
        <v>21</v>
      </c>
      <c r="M5" s="22"/>
    </row>
    <row r="6" spans="1:13" ht="28.8" x14ac:dyDescent="0.3">
      <c r="A6" s="5" t="s">
        <v>31</v>
      </c>
      <c r="B6" s="6">
        <v>45298</v>
      </c>
      <c r="C6" s="5" t="s">
        <v>10</v>
      </c>
      <c r="D6" s="5" t="s">
        <v>32</v>
      </c>
      <c r="E6" s="5" t="s">
        <v>69</v>
      </c>
      <c r="F6" s="5" t="s">
        <v>34</v>
      </c>
      <c r="G6" s="5" t="s">
        <v>14</v>
      </c>
      <c r="H6" s="5">
        <v>4</v>
      </c>
      <c r="I6" s="5">
        <v>18000</v>
      </c>
      <c r="J6" s="5">
        <v>72000</v>
      </c>
      <c r="L6" s="5" t="s">
        <v>27</v>
      </c>
      <c r="M6" s="22"/>
    </row>
    <row r="7" spans="1:13" ht="28.8" x14ac:dyDescent="0.3">
      <c r="A7" s="5" t="s">
        <v>35</v>
      </c>
      <c r="B7" s="6">
        <v>45300</v>
      </c>
      <c r="C7" s="5" t="s">
        <v>21</v>
      </c>
      <c r="D7" s="5" t="s">
        <v>36</v>
      </c>
      <c r="E7" s="5" t="s">
        <v>37</v>
      </c>
      <c r="F7" s="5" t="s">
        <v>38</v>
      </c>
      <c r="G7" s="5" t="s">
        <v>14</v>
      </c>
      <c r="H7" s="5">
        <v>2</v>
      </c>
      <c r="I7" s="5">
        <v>12000</v>
      </c>
      <c r="J7" s="5">
        <v>24000</v>
      </c>
    </row>
    <row r="8" spans="1:13" ht="28.8" x14ac:dyDescent="0.3">
      <c r="A8" s="5" t="s">
        <v>39</v>
      </c>
      <c r="B8" s="6">
        <v>45302</v>
      </c>
      <c r="C8" s="5" t="s">
        <v>16</v>
      </c>
      <c r="D8" s="5" t="s">
        <v>40</v>
      </c>
      <c r="E8" s="5" t="s">
        <v>41</v>
      </c>
      <c r="F8" s="5" t="s">
        <v>42</v>
      </c>
      <c r="G8" s="5" t="s">
        <v>25</v>
      </c>
      <c r="H8" s="5">
        <v>2</v>
      </c>
      <c r="I8" s="5">
        <v>4200</v>
      </c>
      <c r="J8" s="5">
        <v>8400</v>
      </c>
      <c r="L8" s="29" t="s">
        <v>122</v>
      </c>
      <c r="M8" s="22" t="s">
        <v>121</v>
      </c>
    </row>
    <row r="9" spans="1:13" ht="28.8" x14ac:dyDescent="0.3">
      <c r="A9" s="5" t="s">
        <v>43</v>
      </c>
      <c r="B9" s="6">
        <v>45303</v>
      </c>
      <c r="C9" s="5" t="s">
        <v>10</v>
      </c>
      <c r="D9" s="5" t="s">
        <v>44</v>
      </c>
      <c r="E9" s="5" t="s">
        <v>45</v>
      </c>
      <c r="F9" s="5" t="s">
        <v>46</v>
      </c>
      <c r="G9" s="5" t="s">
        <v>47</v>
      </c>
      <c r="H9" s="5">
        <v>10</v>
      </c>
      <c r="I9" s="5">
        <v>800</v>
      </c>
      <c r="J9" s="5">
        <v>8000</v>
      </c>
      <c r="L9" s="29" t="s">
        <v>123</v>
      </c>
      <c r="M9" s="22">
        <f>MIN(J:J,C:C)</f>
        <v>6000</v>
      </c>
    </row>
    <row r="10" spans="1:13" ht="28.8" x14ac:dyDescent="0.3">
      <c r="A10" s="5" t="s">
        <v>48</v>
      </c>
      <c r="B10" s="6">
        <v>45304</v>
      </c>
      <c r="C10" s="5" t="s">
        <v>27</v>
      </c>
      <c r="D10" s="5" t="s">
        <v>11</v>
      </c>
      <c r="E10" s="5" t="s">
        <v>49</v>
      </c>
      <c r="F10" s="5" t="s">
        <v>50</v>
      </c>
      <c r="G10" s="5" t="s">
        <v>14</v>
      </c>
      <c r="H10" s="5">
        <v>4</v>
      </c>
      <c r="I10" s="5">
        <v>1500</v>
      </c>
      <c r="J10" s="5">
        <v>6000</v>
      </c>
    </row>
    <row r="11" spans="1:13" x14ac:dyDescent="0.3">
      <c r="A11" s="5" t="s">
        <v>51</v>
      </c>
      <c r="B11" s="6">
        <v>45305</v>
      </c>
      <c r="C11" s="5" t="s">
        <v>16</v>
      </c>
      <c r="D11" s="5" t="s">
        <v>52</v>
      </c>
      <c r="E11" s="5" t="s">
        <v>53</v>
      </c>
      <c r="F11" s="5" t="s">
        <v>54</v>
      </c>
      <c r="G11" s="5" t="s">
        <v>14</v>
      </c>
      <c r="H11" s="5">
        <v>6</v>
      </c>
      <c r="I11" s="5">
        <v>1000</v>
      </c>
      <c r="J11" s="5">
        <v>6000</v>
      </c>
    </row>
    <row r="12" spans="1:13" ht="28.8" x14ac:dyDescent="0.3">
      <c r="A12" s="5" t="s">
        <v>55</v>
      </c>
      <c r="B12" s="6">
        <v>45306</v>
      </c>
      <c r="C12" s="5" t="s">
        <v>21</v>
      </c>
      <c r="D12" s="5" t="s">
        <v>56</v>
      </c>
      <c r="E12" s="5" t="s">
        <v>57</v>
      </c>
      <c r="F12" s="5" t="s">
        <v>58</v>
      </c>
      <c r="G12" s="5" t="s">
        <v>14</v>
      </c>
      <c r="H12" s="5">
        <v>1</v>
      </c>
      <c r="I12" s="5">
        <v>18000</v>
      </c>
      <c r="J12" s="5">
        <v>18000</v>
      </c>
    </row>
    <row r="13" spans="1:13" x14ac:dyDescent="0.3">
      <c r="A13" s="5" t="s">
        <v>59</v>
      </c>
      <c r="B13" s="6">
        <v>45307</v>
      </c>
      <c r="C13" s="5" t="s">
        <v>10</v>
      </c>
      <c r="D13" s="5" t="s">
        <v>60</v>
      </c>
      <c r="E13" s="5" t="s">
        <v>61</v>
      </c>
      <c r="F13" s="5" t="s">
        <v>13</v>
      </c>
      <c r="G13" s="5" t="s">
        <v>25</v>
      </c>
      <c r="H13" s="5">
        <v>5</v>
      </c>
      <c r="I13" s="5">
        <v>8000</v>
      </c>
      <c r="J13" s="5">
        <v>40000</v>
      </c>
    </row>
  </sheetData>
  <mergeCells count="1">
    <mergeCell ref="L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 data</vt:lpstr>
      <vt:lpstr>sales data</vt:lpstr>
      <vt:lpstr>AVERAGRIF &amp; AVERAGEIFS</vt:lpstr>
      <vt:lpstr>max formula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2025-10-29T10:45:15Z</dcterms:created>
  <dcterms:modified xsi:type="dcterms:W3CDTF">2025-11-21T15:43:02Z</dcterms:modified>
</cp:coreProperties>
</file>