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\Data_Analysis_Portfolio\formula practice\"/>
    </mc:Choice>
  </mc:AlternateContent>
  <bookViews>
    <workbookView xWindow="0" yWindow="0" windowWidth="16392" windowHeight="5520" tabRatio="716" activeTab="3"/>
  </bookViews>
  <sheets>
    <sheet name="V-Lookup" sheetId="1" r:id="rId1"/>
    <sheet name="v-lokkup2" sheetId="2" r:id="rId2"/>
    <sheet name="V-lookup with match" sheetId="3" r:id="rId3"/>
    <sheet name="match and index" sheetId="4" r:id="rId4"/>
  </sheets>
  <definedNames>
    <definedName name="emp_type">'v-lokkup2'!$I$2:$J$8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2" i="1"/>
  <c r="J3" i="4" l="1"/>
  <c r="J7" i="3"/>
  <c r="J8" i="3"/>
  <c r="J6" i="3"/>
  <c r="J5" i="3"/>
  <c r="G11" i="3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H6" i="1" l="1"/>
  <c r="H5" i="1"/>
  <c r="H4" i="1"/>
  <c r="H7" i="1"/>
  <c r="J15" i="3" l="1"/>
</calcChain>
</file>

<file path=xl/sharedStrings.xml><?xml version="1.0" encoding="utf-8"?>
<sst xmlns="http://schemas.openxmlformats.org/spreadsheetml/2006/main" count="332" uniqueCount="115">
  <si>
    <t>Emp_ID</t>
  </si>
  <si>
    <t>Name</t>
  </si>
  <si>
    <t>Department</t>
  </si>
  <si>
    <t>Salary</t>
  </si>
  <si>
    <t>Joining_Date</t>
  </si>
  <si>
    <t>E001</t>
  </si>
  <si>
    <t>Arun Sharma</t>
  </si>
  <si>
    <t>IT</t>
  </si>
  <si>
    <t>E002</t>
  </si>
  <si>
    <t>Priya Mehta</t>
  </si>
  <si>
    <t>HR</t>
  </si>
  <si>
    <t>E003</t>
  </si>
  <si>
    <t>Rajesh Kumar</t>
  </si>
  <si>
    <t>Finance</t>
  </si>
  <si>
    <t>E004</t>
  </si>
  <si>
    <t>Sneha Patel</t>
  </si>
  <si>
    <t>E005</t>
  </si>
  <si>
    <t>Deepak Singh</t>
  </si>
  <si>
    <t>Marketing</t>
  </si>
  <si>
    <t>E006</t>
  </si>
  <si>
    <t>Neha Gupta</t>
  </si>
  <si>
    <t>E007</t>
  </si>
  <si>
    <t>Ankit Yadav</t>
  </si>
  <si>
    <t>E008</t>
  </si>
  <si>
    <t>Suman Verma</t>
  </si>
  <si>
    <t>Sales</t>
  </si>
  <si>
    <t>E009</t>
  </si>
  <si>
    <t>Karan Joshi</t>
  </si>
  <si>
    <t>E010</t>
  </si>
  <si>
    <t>Pooja Rathi</t>
  </si>
  <si>
    <t>E011</t>
  </si>
  <si>
    <t>Mohit Choudhary</t>
  </si>
  <si>
    <t>E012</t>
  </si>
  <si>
    <t>Divya Sharma</t>
  </si>
  <si>
    <t>E013</t>
  </si>
  <si>
    <t>Rakesh Kumar</t>
  </si>
  <si>
    <t>E014</t>
  </si>
  <si>
    <t>Meena Yadav</t>
  </si>
  <si>
    <t>E015</t>
  </si>
  <si>
    <t>Harsh Raj</t>
  </si>
  <si>
    <t>E016</t>
  </si>
  <si>
    <t>Sonam Tiwari</t>
  </si>
  <si>
    <t>E017</t>
  </si>
  <si>
    <t>Gaurav Mishra</t>
  </si>
  <si>
    <t>E018</t>
  </si>
  <si>
    <t>Reena Dube</t>
  </si>
  <si>
    <t>E019</t>
  </si>
  <si>
    <t>Ajay Kumar</t>
  </si>
  <si>
    <t>E020</t>
  </si>
  <si>
    <t>Kavita Singh</t>
  </si>
  <si>
    <t>V-LOOKUP</t>
  </si>
  <si>
    <t>Example change emp_id show result</t>
  </si>
  <si>
    <t>emp_type</t>
  </si>
  <si>
    <t>greather than</t>
  </si>
  <si>
    <t xml:space="preserve">salary     </t>
  </si>
  <si>
    <t>emp-type</t>
  </si>
  <si>
    <t>Grade1</t>
  </si>
  <si>
    <t>Grade2</t>
  </si>
  <si>
    <t>Grade3</t>
  </si>
  <si>
    <t>Grade4</t>
  </si>
  <si>
    <t>Grade5</t>
  </si>
  <si>
    <t>Grade6</t>
  </si>
  <si>
    <t>Arjun Kumar</t>
  </si>
  <si>
    <t>Student_ID</t>
  </si>
  <si>
    <t>Class</t>
  </si>
  <si>
    <t>Subject</t>
  </si>
  <si>
    <t>Time</t>
  </si>
  <si>
    <t>Teacher</t>
  </si>
  <si>
    <t>S001</t>
  </si>
  <si>
    <t>Aarav Sharma</t>
  </si>
  <si>
    <t>10-A</t>
  </si>
  <si>
    <t>Mathematics</t>
  </si>
  <si>
    <t>Mr. Verma</t>
  </si>
  <si>
    <t>S002</t>
  </si>
  <si>
    <t>Science</t>
  </si>
  <si>
    <t>Mrs. Gupta</t>
  </si>
  <si>
    <t>S003</t>
  </si>
  <si>
    <t>Rohan Singh</t>
  </si>
  <si>
    <t>10-B</t>
  </si>
  <si>
    <t>English</t>
  </si>
  <si>
    <t>Mr. Iyer</t>
  </si>
  <si>
    <t>S004</t>
  </si>
  <si>
    <t>10-C</t>
  </si>
  <si>
    <t>History</t>
  </si>
  <si>
    <t>Mrs. Tiwari</t>
  </si>
  <si>
    <t>S005</t>
  </si>
  <si>
    <t>Deepak Yadav</t>
  </si>
  <si>
    <t>S006</t>
  </si>
  <si>
    <t>Geography</t>
  </si>
  <si>
    <t>Mrs. Roy</t>
  </si>
  <si>
    <t>S007</t>
  </si>
  <si>
    <t>Ankit Kumar</t>
  </si>
  <si>
    <t>S008</t>
  </si>
  <si>
    <t>S009</t>
  </si>
  <si>
    <t>Mohit Joshi</t>
  </si>
  <si>
    <t>S010</t>
  </si>
  <si>
    <t>Pooja Singh</t>
  </si>
  <si>
    <t>S011</t>
  </si>
  <si>
    <t>S012</t>
  </si>
  <si>
    <t>S013</t>
  </si>
  <si>
    <t>S014</t>
  </si>
  <si>
    <t>Kavita Yadav</t>
  </si>
  <si>
    <t>S015</t>
  </si>
  <si>
    <t>Aditya Raj</t>
  </si>
  <si>
    <t>S016</t>
  </si>
  <si>
    <t>Simran Kaur</t>
  </si>
  <si>
    <t>S017</t>
  </si>
  <si>
    <t>Rahul Sharma</t>
  </si>
  <si>
    <t>S018</t>
  </si>
  <si>
    <t>Meena Joshi</t>
  </si>
  <si>
    <t>S019</t>
  </si>
  <si>
    <t>Tushar Jain</t>
  </si>
  <si>
    <t>S020</t>
  </si>
  <si>
    <t>class subject</t>
  </si>
  <si>
    <t>change empID show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</si>
</sst>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1" applyNumberFormat="1" applyFont="1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  <xf numFmtId="165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5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830580</xdr:colOff>
      <xdr:row>1</xdr:row>
      <xdr:rowOff>106680</xdr:rowOff>
    </xdr:from>
    <xdr:to>
      <xdr:col>9</xdr:col>
      <xdr:colOff>1028700</xdr:colOff>
      <xdr:row>2</xdr:row>
      <xdr:rowOff>160020</xdr:rowOff>
    </xdr:to>
    <xdr:sp macro="" textlink="">
      <xdr:nvSpPr>
        <xdr:cNvPr id="2" name="Down Arrow 1"/>
        <xdr:cNvSpPr/>
      </xdr:nvSpPr>
      <xdr:spPr>
        <a:xfrm>
          <a:off x="8290560" y="289560"/>
          <a:ext cx="198120" cy="2362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2" zoomScaleNormal="100" workbookViewId="0">
      <selection activeCell="H12" sqref="H12"/>
    </sheetView>
  </sheetViews>
  <sheetFormatPr defaultRowHeight="14.4" x14ac:dyDescent="0.3"/>
  <cols>
    <col min="2" max="2" width="15.88671875" customWidth="1"/>
    <col min="3" max="3" width="14.77734375" customWidth="1"/>
    <col min="4" max="4" width="10.77734375" customWidth="1"/>
    <col min="5" max="5" width="13.5546875" customWidth="1"/>
    <col min="6" max="6" width="11.33203125" customWidth="1"/>
    <col min="7" max="7" width="30.21875" customWidth="1"/>
    <col min="8" max="8" width="15.21875" bestFit="1" customWidth="1"/>
  </cols>
  <sheetData>
    <row r="1" spans="1:8" x14ac:dyDescent="0.3">
      <c r="A1" s="26" t="s">
        <v>50</v>
      </c>
      <c r="B1" s="26"/>
      <c r="C1" s="26"/>
      <c r="D1" s="26"/>
      <c r="E1" s="26"/>
    </row>
    <row r="2" spans="1:8" ht="28.8" customHeight="1" x14ac:dyDescent="0.3">
      <c r="A2" s="6" t="s">
        <v>0</v>
      </c>
      <c r="B2" s="3" t="s">
        <v>1</v>
      </c>
      <c r="C2" s="3" t="s">
        <v>2</v>
      </c>
      <c r="D2" s="3" t="s">
        <v>3</v>
      </c>
      <c r="E2" s="22" t="s">
        <v>4</v>
      </c>
      <c r="F2" s="23"/>
      <c r="G2" s="27" t="s">
        <v>51</v>
      </c>
      <c r="H2" s="27"/>
    </row>
    <row r="3" spans="1:8" x14ac:dyDescent="0.3">
      <c r="A3" s="7" t="s">
        <v>5</v>
      </c>
      <c r="B3" s="4" t="s">
        <v>6</v>
      </c>
      <c r="C3" s="4" t="s">
        <v>7</v>
      </c>
      <c r="D3" s="4">
        <v>55000</v>
      </c>
      <c r="E3" s="5">
        <v>43902</v>
      </c>
      <c r="G3" s="1" t="s">
        <v>0</v>
      </c>
      <c r="H3" t="s">
        <v>16</v>
      </c>
    </row>
    <row r="4" spans="1:8" x14ac:dyDescent="0.3">
      <c r="A4" s="7" t="s">
        <v>8</v>
      </c>
      <c r="B4" s="4" t="s">
        <v>9</v>
      </c>
      <c r="C4" s="4" t="s">
        <v>10</v>
      </c>
      <c r="D4" s="4">
        <v>40000</v>
      </c>
      <c r="E4" s="5">
        <v>44402</v>
      </c>
      <c r="G4" s="1" t="s">
        <v>1</v>
      </c>
      <c r="H4" t="str">
        <f>VLOOKUP(H3, A3:E22, 2, FALSE)</f>
        <v>Deepak Singh</v>
      </c>
    </row>
    <row r="5" spans="1:8" ht="28.8" x14ac:dyDescent="0.3">
      <c r="A5" s="7" t="s">
        <v>11</v>
      </c>
      <c r="B5" s="4" t="s">
        <v>12</v>
      </c>
      <c r="C5" s="4" t="s">
        <v>13</v>
      </c>
      <c r="D5" s="4">
        <v>60000</v>
      </c>
      <c r="E5" s="5">
        <v>43779</v>
      </c>
      <c r="G5" s="1" t="s">
        <v>2</v>
      </c>
      <c r="H5" t="str">
        <f>VLOOKUP(H3,A3:E22,3,FALSE)</f>
        <v>Marketing</v>
      </c>
    </row>
    <row r="6" spans="1:8" x14ac:dyDescent="0.3">
      <c r="A6" s="7" t="s">
        <v>14</v>
      </c>
      <c r="B6" s="4" t="s">
        <v>15</v>
      </c>
      <c r="C6" s="4" t="s">
        <v>7</v>
      </c>
      <c r="D6" s="4">
        <v>58000</v>
      </c>
      <c r="E6" s="5">
        <v>44606</v>
      </c>
      <c r="G6" s="1" t="s">
        <v>3</v>
      </c>
      <c r="H6">
        <f>VLOOKUP(H3,A3:E22,4,FALSE)</f>
        <v>45000</v>
      </c>
    </row>
    <row r="7" spans="1:8" ht="28.8" x14ac:dyDescent="0.3">
      <c r="A7" s="7" t="s">
        <v>16</v>
      </c>
      <c r="B7" s="4" t="s">
        <v>17</v>
      </c>
      <c r="C7" s="4" t="s">
        <v>18</v>
      </c>
      <c r="D7" s="4">
        <v>45000</v>
      </c>
      <c r="E7" s="5">
        <v>43983</v>
      </c>
      <c r="G7" s="1" t="s">
        <v>4</v>
      </c>
      <c r="H7" s="2">
        <f>VLOOKUP(H3,A3:E22,5,FALSE)</f>
        <v>43983</v>
      </c>
    </row>
    <row r="8" spans="1:8" x14ac:dyDescent="0.3">
      <c r="A8" s="7" t="s">
        <v>19</v>
      </c>
      <c r="B8" s="4" t="s">
        <v>20</v>
      </c>
      <c r="C8" s="4" t="s">
        <v>13</v>
      </c>
      <c r="D8" s="4">
        <v>62000</v>
      </c>
      <c r="E8" s="5">
        <v>43317</v>
      </c>
      <c r="G8" s="23"/>
    </row>
    <row r="9" spans="1:8" x14ac:dyDescent="0.3">
      <c r="A9" s="7" t="s">
        <v>21</v>
      </c>
      <c r="B9" s="4" t="s">
        <v>22</v>
      </c>
      <c r="C9" s="4" t="s">
        <v>10</v>
      </c>
      <c r="D9" s="4">
        <v>38000</v>
      </c>
      <c r="E9" s="5">
        <v>44457</v>
      </c>
      <c r="G9" s="23"/>
    </row>
    <row r="10" spans="1:8" x14ac:dyDescent="0.3">
      <c r="A10" s="7" t="s">
        <v>23</v>
      </c>
      <c r="B10" s="4" t="s">
        <v>24</v>
      </c>
      <c r="C10" s="4" t="s">
        <v>25</v>
      </c>
      <c r="D10" s="4">
        <v>47000</v>
      </c>
      <c r="E10" s="5">
        <v>43577</v>
      </c>
      <c r="G10" s="23"/>
    </row>
    <row r="11" spans="1:8" x14ac:dyDescent="0.3">
      <c r="A11" s="7" t="s">
        <v>26</v>
      </c>
      <c r="B11" s="4" t="s">
        <v>27</v>
      </c>
      <c r="C11" s="4" t="s">
        <v>7</v>
      </c>
      <c r="D11" s="4">
        <v>61000</v>
      </c>
      <c r="E11" s="5">
        <v>44174</v>
      </c>
      <c r="G11" s="25" t="s">
        <v>0</v>
      </c>
      <c r="H11" s="24" t="s">
        <v>28</v>
      </c>
    </row>
    <row r="12" spans="1:8" x14ac:dyDescent="0.3">
      <c r="A12" s="7" t="s">
        <v>28</v>
      </c>
      <c r="B12" s="4" t="s">
        <v>29</v>
      </c>
      <c r="C12" s="4" t="s">
        <v>18</v>
      </c>
      <c r="D12" s="4">
        <v>43000</v>
      </c>
      <c r="E12" s="5">
        <v>44578</v>
      </c>
      <c r="G12" s="25" t="s">
        <v>1</v>
      </c>
      <c r="H12" s="24" t="str">
        <f>VLOOKUP($H$11,$A:$E,2,FALSE)</f>
        <v>Pooja Rathi</v>
      </c>
    </row>
    <row r="13" spans="1:8" x14ac:dyDescent="0.3">
      <c r="A13" s="7" t="s">
        <v>30</v>
      </c>
      <c r="B13" s="4" t="s">
        <v>31</v>
      </c>
      <c r="C13" s="4" t="s">
        <v>13</v>
      </c>
      <c r="D13" s="4">
        <v>64000</v>
      </c>
      <c r="E13" s="5">
        <v>43893</v>
      </c>
      <c r="G13" s="25" t="s">
        <v>3</v>
      </c>
      <c r="H13" s="24">
        <f>VLOOKUP($H$11,$A:$E,4,FALSE)</f>
        <v>43000</v>
      </c>
    </row>
    <row r="14" spans="1:8" x14ac:dyDescent="0.3">
      <c r="A14" s="7" t="s">
        <v>32</v>
      </c>
      <c r="B14" s="4" t="s">
        <v>33</v>
      </c>
      <c r="C14" s="4" t="s">
        <v>10</v>
      </c>
      <c r="D14" s="4">
        <v>41000</v>
      </c>
      <c r="E14" s="5">
        <v>43689</v>
      </c>
    </row>
    <row r="15" spans="1:8" x14ac:dyDescent="0.3">
      <c r="A15" s="7" t="s">
        <v>34</v>
      </c>
      <c r="B15" s="4" t="s">
        <v>35</v>
      </c>
      <c r="C15" s="4" t="s">
        <v>25</v>
      </c>
      <c r="D15" s="4">
        <v>50000</v>
      </c>
      <c r="E15" s="5">
        <v>44466</v>
      </c>
    </row>
    <row r="16" spans="1:8" x14ac:dyDescent="0.3">
      <c r="A16" s="7" t="s">
        <v>36</v>
      </c>
      <c r="B16" s="4" t="s">
        <v>37</v>
      </c>
      <c r="C16" s="4" t="s">
        <v>7</v>
      </c>
      <c r="D16" s="4">
        <v>56000</v>
      </c>
      <c r="E16" s="5">
        <v>44696</v>
      </c>
    </row>
    <row r="17" spans="1:5" x14ac:dyDescent="0.3">
      <c r="A17" s="7" t="s">
        <v>38</v>
      </c>
      <c r="B17" s="4" t="s">
        <v>39</v>
      </c>
      <c r="C17" s="4" t="s">
        <v>13</v>
      </c>
      <c r="D17" s="4">
        <v>63000</v>
      </c>
      <c r="E17" s="5">
        <v>43289</v>
      </c>
    </row>
    <row r="18" spans="1:5" x14ac:dyDescent="0.3">
      <c r="A18" s="7" t="s">
        <v>40</v>
      </c>
      <c r="B18" s="4" t="s">
        <v>41</v>
      </c>
      <c r="C18" s="4" t="s">
        <v>18</v>
      </c>
      <c r="D18" s="4">
        <v>46000</v>
      </c>
      <c r="E18" s="5">
        <v>44106</v>
      </c>
    </row>
    <row r="19" spans="1:5" x14ac:dyDescent="0.3">
      <c r="A19" s="7" t="s">
        <v>42</v>
      </c>
      <c r="B19" s="4" t="s">
        <v>43</v>
      </c>
      <c r="C19" s="4" t="s">
        <v>25</v>
      </c>
      <c r="D19" s="4">
        <v>48000</v>
      </c>
      <c r="E19" s="5">
        <v>44511</v>
      </c>
    </row>
    <row r="20" spans="1:5" x14ac:dyDescent="0.3">
      <c r="A20" s="7" t="s">
        <v>44</v>
      </c>
      <c r="B20" s="4" t="s">
        <v>45</v>
      </c>
      <c r="C20" s="4" t="s">
        <v>10</v>
      </c>
      <c r="D20" s="4">
        <v>42000</v>
      </c>
      <c r="E20" s="5">
        <v>43495</v>
      </c>
    </row>
    <row r="21" spans="1:5" x14ac:dyDescent="0.3">
      <c r="A21" s="7" t="s">
        <v>46</v>
      </c>
      <c r="B21" s="4" t="s">
        <v>47</v>
      </c>
      <c r="C21" s="4" t="s">
        <v>7</v>
      </c>
      <c r="D21" s="4">
        <v>60000</v>
      </c>
      <c r="E21" s="5">
        <v>44290</v>
      </c>
    </row>
    <row r="22" spans="1:5" x14ac:dyDescent="0.3">
      <c r="A22" s="7" t="s">
        <v>48</v>
      </c>
      <c r="B22" s="4" t="s">
        <v>49</v>
      </c>
      <c r="C22" s="4" t="s">
        <v>13</v>
      </c>
      <c r="D22" s="4">
        <v>61000</v>
      </c>
      <c r="E22" s="5">
        <v>43516</v>
      </c>
    </row>
  </sheetData>
  <mergeCells count="2">
    <mergeCell ref="A1:E1"/>
    <mergeCell ref="G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10" zoomScaleNormal="110" workbookViewId="0">
      <selection activeCell="F1" sqref="F1"/>
    </sheetView>
  </sheetViews>
  <sheetFormatPr defaultRowHeight="14.4" x14ac:dyDescent="0.3"/>
  <cols>
    <col min="2" max="2" width="19.109375" customWidth="1"/>
    <col min="3" max="3" width="15.44140625" customWidth="1"/>
    <col min="4" max="4" width="11.33203125" bestFit="1" customWidth="1"/>
    <col min="5" max="5" width="18.109375" customWidth="1"/>
    <col min="6" max="6" width="15.77734375" customWidth="1"/>
    <col min="9" max="9" width="12" bestFit="1" customWidth="1"/>
  </cols>
  <sheetData>
    <row r="1" spans="1:10" x14ac:dyDescent="0.3">
      <c r="A1" s="6" t="s">
        <v>0</v>
      </c>
      <c r="B1" s="3" t="s">
        <v>1</v>
      </c>
      <c r="C1" s="3" t="s">
        <v>2</v>
      </c>
      <c r="D1" s="9" t="s">
        <v>3</v>
      </c>
      <c r="E1" s="3" t="s">
        <v>4</v>
      </c>
      <c r="F1" s="8" t="s">
        <v>52</v>
      </c>
    </row>
    <row r="2" spans="1:10" x14ac:dyDescent="0.3">
      <c r="A2" s="7" t="s">
        <v>5</v>
      </c>
      <c r="B2" s="4" t="s">
        <v>6</v>
      </c>
      <c r="C2" s="4" t="s">
        <v>7</v>
      </c>
      <c r="D2" s="10">
        <v>55000</v>
      </c>
      <c r="E2" s="5">
        <v>43902</v>
      </c>
      <c r="F2" t="str">
        <f t="shared" ref="F2:F21" si="0">VLOOKUP(D2,emp_type,2,1)</f>
        <v>Grade2</v>
      </c>
      <c r="I2" t="s">
        <v>53</v>
      </c>
      <c r="J2" t="s">
        <v>55</v>
      </c>
    </row>
    <row r="3" spans="1:10" x14ac:dyDescent="0.3">
      <c r="A3" s="7" t="s">
        <v>8</v>
      </c>
      <c r="B3" s="4" t="s">
        <v>9</v>
      </c>
      <c r="C3" s="4" t="s">
        <v>10</v>
      </c>
      <c r="D3" s="11">
        <v>40000</v>
      </c>
      <c r="E3" s="5">
        <v>44402</v>
      </c>
      <c r="F3" t="str">
        <f t="shared" si="0"/>
        <v>Grade4</v>
      </c>
      <c r="I3" t="s">
        <v>54</v>
      </c>
      <c r="J3" t="s">
        <v>61</v>
      </c>
    </row>
    <row r="4" spans="1:10" x14ac:dyDescent="0.3">
      <c r="A4" s="7" t="s">
        <v>11</v>
      </c>
      <c r="B4" s="4" t="s">
        <v>12</v>
      </c>
      <c r="C4" s="4" t="s">
        <v>13</v>
      </c>
      <c r="D4" s="11">
        <v>60000</v>
      </c>
      <c r="E4" s="5">
        <v>43779</v>
      </c>
      <c r="F4" t="str">
        <f t="shared" si="0"/>
        <v>Grade1</v>
      </c>
      <c r="I4">
        <v>20000</v>
      </c>
      <c r="J4" t="s">
        <v>60</v>
      </c>
    </row>
    <row r="5" spans="1:10" x14ac:dyDescent="0.3">
      <c r="A5" s="7" t="s">
        <v>14</v>
      </c>
      <c r="B5" s="4" t="s">
        <v>15</v>
      </c>
      <c r="C5" s="4" t="s">
        <v>7</v>
      </c>
      <c r="D5" s="11">
        <v>58000</v>
      </c>
      <c r="E5" s="5">
        <v>44606</v>
      </c>
      <c r="F5" t="str">
        <f t="shared" si="0"/>
        <v>Grade2</v>
      </c>
      <c r="I5">
        <v>30000</v>
      </c>
      <c r="J5" t="s">
        <v>59</v>
      </c>
    </row>
    <row r="6" spans="1:10" x14ac:dyDescent="0.3">
      <c r="A6" s="7" t="s">
        <v>16</v>
      </c>
      <c r="B6" s="4" t="s">
        <v>17</v>
      </c>
      <c r="C6" s="4" t="s">
        <v>18</v>
      </c>
      <c r="D6" s="11">
        <v>45000</v>
      </c>
      <c r="E6" s="5">
        <v>43983</v>
      </c>
      <c r="F6" t="str">
        <f t="shared" si="0"/>
        <v>Grade3</v>
      </c>
      <c r="I6">
        <v>45000</v>
      </c>
      <c r="J6" t="s">
        <v>58</v>
      </c>
    </row>
    <row r="7" spans="1:10" x14ac:dyDescent="0.3">
      <c r="A7" s="7" t="s">
        <v>19</v>
      </c>
      <c r="B7" s="4" t="s">
        <v>20</v>
      </c>
      <c r="C7" s="4" t="s">
        <v>13</v>
      </c>
      <c r="D7" s="11">
        <v>62000</v>
      </c>
      <c r="E7" s="5">
        <v>43317</v>
      </c>
      <c r="F7" t="str">
        <f t="shared" si="0"/>
        <v>Grade1</v>
      </c>
      <c r="I7">
        <v>50000</v>
      </c>
      <c r="J7" t="s">
        <v>57</v>
      </c>
    </row>
    <row r="8" spans="1:10" x14ac:dyDescent="0.3">
      <c r="A8" s="7" t="s">
        <v>21</v>
      </c>
      <c r="B8" s="4" t="s">
        <v>22</v>
      </c>
      <c r="C8" s="4" t="s">
        <v>10</v>
      </c>
      <c r="D8" s="11">
        <v>38000</v>
      </c>
      <c r="E8" s="5">
        <v>44457</v>
      </c>
      <c r="F8" t="str">
        <f t="shared" si="0"/>
        <v>Grade4</v>
      </c>
      <c r="I8">
        <v>60000</v>
      </c>
      <c r="J8" t="s">
        <v>56</v>
      </c>
    </row>
    <row r="9" spans="1:10" x14ac:dyDescent="0.3">
      <c r="A9" s="7" t="s">
        <v>23</v>
      </c>
      <c r="B9" s="4" t="s">
        <v>24</v>
      </c>
      <c r="C9" s="4" t="s">
        <v>25</v>
      </c>
      <c r="D9" s="11">
        <v>47000</v>
      </c>
      <c r="E9" s="5">
        <v>43577</v>
      </c>
      <c r="F9" t="str">
        <f t="shared" si="0"/>
        <v>Grade3</v>
      </c>
      <c r="I9">
        <v>64000</v>
      </c>
    </row>
    <row r="10" spans="1:10" x14ac:dyDescent="0.3">
      <c r="A10" s="7" t="s">
        <v>26</v>
      </c>
      <c r="B10" s="4" t="s">
        <v>27</v>
      </c>
      <c r="C10" s="4" t="s">
        <v>7</v>
      </c>
      <c r="D10" s="11">
        <v>61000</v>
      </c>
      <c r="E10" s="5">
        <v>44174</v>
      </c>
      <c r="F10" t="str">
        <f t="shared" si="0"/>
        <v>Grade1</v>
      </c>
    </row>
    <row r="11" spans="1:10" x14ac:dyDescent="0.3">
      <c r="A11" s="7" t="s">
        <v>28</v>
      </c>
      <c r="B11" s="4" t="s">
        <v>29</v>
      </c>
      <c r="C11" s="4" t="s">
        <v>18</v>
      </c>
      <c r="D11" s="11">
        <v>43000</v>
      </c>
      <c r="E11" s="5">
        <v>44578</v>
      </c>
      <c r="F11" t="str">
        <f t="shared" si="0"/>
        <v>Grade4</v>
      </c>
    </row>
    <row r="12" spans="1:10" x14ac:dyDescent="0.3">
      <c r="A12" s="7" t="s">
        <v>30</v>
      </c>
      <c r="B12" s="4" t="s">
        <v>31</v>
      </c>
      <c r="C12" s="4" t="s">
        <v>13</v>
      </c>
      <c r="D12" s="11">
        <v>64000</v>
      </c>
      <c r="E12" s="5">
        <v>43893</v>
      </c>
      <c r="F12" t="str">
        <f t="shared" si="0"/>
        <v>Grade1</v>
      </c>
    </row>
    <row r="13" spans="1:10" x14ac:dyDescent="0.3">
      <c r="A13" s="7" t="s">
        <v>32</v>
      </c>
      <c r="B13" s="4" t="s">
        <v>33</v>
      </c>
      <c r="C13" s="4" t="s">
        <v>10</v>
      </c>
      <c r="D13" s="11">
        <v>41000</v>
      </c>
      <c r="E13" s="5">
        <v>43689</v>
      </c>
      <c r="F13" t="str">
        <f t="shared" si="0"/>
        <v>Grade4</v>
      </c>
    </row>
    <row r="14" spans="1:10" x14ac:dyDescent="0.3">
      <c r="A14" s="7" t="s">
        <v>34</v>
      </c>
      <c r="B14" s="4" t="s">
        <v>35</v>
      </c>
      <c r="C14" s="4" t="s">
        <v>25</v>
      </c>
      <c r="D14" s="11">
        <v>50000</v>
      </c>
      <c r="E14" s="5">
        <v>44466</v>
      </c>
      <c r="F14" t="str">
        <f t="shared" si="0"/>
        <v>Grade2</v>
      </c>
    </row>
    <row r="15" spans="1:10" x14ac:dyDescent="0.3">
      <c r="A15" s="7" t="s">
        <v>36</v>
      </c>
      <c r="B15" s="4" t="s">
        <v>37</v>
      </c>
      <c r="C15" s="4" t="s">
        <v>7</v>
      </c>
      <c r="D15" s="11">
        <v>56000</v>
      </c>
      <c r="E15" s="5">
        <v>44696</v>
      </c>
      <c r="F15" t="str">
        <f t="shared" si="0"/>
        <v>Grade2</v>
      </c>
    </row>
    <row r="16" spans="1:10" x14ac:dyDescent="0.3">
      <c r="A16" s="7" t="s">
        <v>38</v>
      </c>
      <c r="B16" s="4" t="s">
        <v>39</v>
      </c>
      <c r="C16" s="4" t="s">
        <v>13</v>
      </c>
      <c r="D16" s="11">
        <v>63000</v>
      </c>
      <c r="E16" s="5">
        <v>43289</v>
      </c>
      <c r="F16" t="str">
        <f t="shared" si="0"/>
        <v>Grade1</v>
      </c>
    </row>
    <row r="17" spans="1:6" x14ac:dyDescent="0.3">
      <c r="A17" s="7" t="s">
        <v>40</v>
      </c>
      <c r="B17" s="4" t="s">
        <v>41</v>
      </c>
      <c r="C17" s="4" t="s">
        <v>18</v>
      </c>
      <c r="D17" s="11">
        <v>46000</v>
      </c>
      <c r="E17" s="5">
        <v>44106</v>
      </c>
      <c r="F17" t="str">
        <f t="shared" si="0"/>
        <v>Grade3</v>
      </c>
    </row>
    <row r="18" spans="1:6" x14ac:dyDescent="0.3">
      <c r="A18" s="7" t="s">
        <v>42</v>
      </c>
      <c r="B18" s="4" t="s">
        <v>43</v>
      </c>
      <c r="C18" s="4" t="s">
        <v>25</v>
      </c>
      <c r="D18" s="11">
        <v>48000</v>
      </c>
      <c r="E18" s="5">
        <v>44511</v>
      </c>
      <c r="F18" t="str">
        <f t="shared" si="0"/>
        <v>Grade3</v>
      </c>
    </row>
    <row r="19" spans="1:6" x14ac:dyDescent="0.3">
      <c r="A19" s="7" t="s">
        <v>44</v>
      </c>
      <c r="B19" s="4" t="s">
        <v>45</v>
      </c>
      <c r="C19" s="4" t="s">
        <v>10</v>
      </c>
      <c r="D19" s="11">
        <v>42000</v>
      </c>
      <c r="E19" s="5">
        <v>43495</v>
      </c>
      <c r="F19" t="str">
        <f t="shared" si="0"/>
        <v>Grade4</v>
      </c>
    </row>
    <row r="20" spans="1:6" x14ac:dyDescent="0.3">
      <c r="A20" s="7" t="s">
        <v>46</v>
      </c>
      <c r="B20" s="4" t="s">
        <v>47</v>
      </c>
      <c r="C20" s="4" t="s">
        <v>7</v>
      </c>
      <c r="D20" s="11">
        <v>60000</v>
      </c>
      <c r="E20" s="5">
        <v>44290</v>
      </c>
      <c r="F20" t="str">
        <f t="shared" si="0"/>
        <v>Grade1</v>
      </c>
    </row>
    <row r="21" spans="1:6" x14ac:dyDescent="0.3">
      <c r="A21" s="7" t="s">
        <v>48</v>
      </c>
      <c r="B21" s="4" t="s">
        <v>49</v>
      </c>
      <c r="C21" s="4" t="s">
        <v>13</v>
      </c>
      <c r="D21" s="11">
        <v>61000</v>
      </c>
      <c r="E21" s="5">
        <v>43516</v>
      </c>
      <c r="F21" t="str">
        <f t="shared" si="0"/>
        <v>Grade1</v>
      </c>
    </row>
  </sheetData>
  <sortState ref="I3:J8">
    <sortCondition ref="I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I13" sqref="I13"/>
    </sheetView>
  </sheetViews>
  <sheetFormatPr defaultRowHeight="14.4" x14ac:dyDescent="0.3"/>
  <cols>
    <col min="2" max="2" width="17.6640625" customWidth="1"/>
    <col min="3" max="3" width="11.33203125" customWidth="1"/>
    <col min="4" max="4" width="13.88671875" customWidth="1"/>
    <col min="5" max="5" width="16.44140625" customWidth="1"/>
    <col min="9" max="9" width="13.88671875" customWidth="1"/>
    <col min="10" max="10" width="15.21875" bestFit="1" customWidth="1"/>
  </cols>
  <sheetData>
    <row r="1" spans="1:10" x14ac:dyDescent="0.3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</row>
    <row r="2" spans="1:10" x14ac:dyDescent="0.3">
      <c r="A2" s="14" t="s">
        <v>5</v>
      </c>
      <c r="B2" s="15" t="s">
        <v>6</v>
      </c>
      <c r="C2" s="15" t="s">
        <v>7</v>
      </c>
      <c r="D2" s="16">
        <v>55000</v>
      </c>
      <c r="E2" s="17">
        <v>43902</v>
      </c>
      <c r="I2" s="28" t="s">
        <v>114</v>
      </c>
      <c r="J2" s="28"/>
    </row>
    <row r="3" spans="1:10" x14ac:dyDescent="0.3">
      <c r="A3" s="14" t="s">
        <v>8</v>
      </c>
      <c r="B3" s="15" t="s">
        <v>9</v>
      </c>
      <c r="C3" s="15" t="s">
        <v>10</v>
      </c>
      <c r="D3" s="18">
        <v>40000</v>
      </c>
      <c r="E3" s="17">
        <v>44402</v>
      </c>
    </row>
    <row r="4" spans="1:10" x14ac:dyDescent="0.3">
      <c r="A4" s="14" t="s">
        <v>11</v>
      </c>
      <c r="B4" s="15" t="s">
        <v>12</v>
      </c>
      <c r="C4" s="15" t="s">
        <v>13</v>
      </c>
      <c r="D4" s="18">
        <v>60000</v>
      </c>
      <c r="E4" s="17">
        <v>43779</v>
      </c>
      <c r="I4" s="12" t="s">
        <v>0</v>
      </c>
      <c r="J4" t="s">
        <v>28</v>
      </c>
    </row>
    <row r="5" spans="1:10" x14ac:dyDescent="0.3">
      <c r="A5" s="14" t="s">
        <v>14</v>
      </c>
      <c r="B5" s="15" t="s">
        <v>15</v>
      </c>
      <c r="C5" s="15" t="s">
        <v>7</v>
      </c>
      <c r="D5" s="18">
        <v>58000</v>
      </c>
      <c r="E5" s="17">
        <v>44606</v>
      </c>
      <c r="I5" s="12" t="s">
        <v>1</v>
      </c>
      <c r="J5" t="str">
        <f>VLOOKUP(J4,A2:E21, 2, 0)</f>
        <v>Pooja Rathi</v>
      </c>
    </row>
    <row r="6" spans="1:10" x14ac:dyDescent="0.3">
      <c r="A6" s="14" t="s">
        <v>16</v>
      </c>
      <c r="B6" s="15" t="s">
        <v>17</v>
      </c>
      <c r="C6" s="15" t="s">
        <v>18</v>
      </c>
      <c r="D6" s="18">
        <v>45000</v>
      </c>
      <c r="E6" s="17">
        <v>43983</v>
      </c>
      <c r="I6" s="13" t="s">
        <v>3</v>
      </c>
      <c r="J6">
        <f>VLOOKUP(J4,A2:E21, 4, 0)</f>
        <v>43000</v>
      </c>
    </row>
    <row r="7" spans="1:10" x14ac:dyDescent="0.3">
      <c r="A7" s="14" t="s">
        <v>19</v>
      </c>
      <c r="B7" s="15" t="s">
        <v>20</v>
      </c>
      <c r="C7" s="15" t="s">
        <v>13</v>
      </c>
      <c r="D7" s="18">
        <v>62000</v>
      </c>
      <c r="E7" s="17">
        <v>43317</v>
      </c>
      <c r="I7" s="12" t="s">
        <v>4</v>
      </c>
      <c r="J7" s="2">
        <f>VLOOKUP(J4,A2:E21, 5, 0)</f>
        <v>44578</v>
      </c>
    </row>
    <row r="8" spans="1:10" x14ac:dyDescent="0.3">
      <c r="A8" s="14" t="s">
        <v>21</v>
      </c>
      <c r="B8" s="15" t="s">
        <v>22</v>
      </c>
      <c r="C8" s="15" t="s">
        <v>10</v>
      </c>
      <c r="D8" s="18">
        <v>38000</v>
      </c>
      <c r="E8" s="17">
        <v>44457</v>
      </c>
      <c r="I8" s="12" t="s">
        <v>2</v>
      </c>
      <c r="J8" t="str">
        <f>VLOOKUP(J4,A2:E21, 3, 0)</f>
        <v>Marketing</v>
      </c>
    </row>
    <row r="9" spans="1:10" x14ac:dyDescent="0.3">
      <c r="A9" s="14" t="s">
        <v>23</v>
      </c>
      <c r="B9" s="15" t="s">
        <v>24</v>
      </c>
      <c r="C9" s="15" t="s">
        <v>25</v>
      </c>
      <c r="D9" s="18">
        <v>47000</v>
      </c>
      <c r="E9" s="17">
        <v>43577</v>
      </c>
    </row>
    <row r="10" spans="1:10" x14ac:dyDescent="0.3">
      <c r="A10" s="14" t="s">
        <v>26</v>
      </c>
      <c r="B10" s="15" t="s">
        <v>27</v>
      </c>
      <c r="C10" s="15" t="s">
        <v>7</v>
      </c>
      <c r="D10" s="18">
        <v>61000</v>
      </c>
      <c r="E10" s="17">
        <v>44174</v>
      </c>
    </row>
    <row r="11" spans="1:10" x14ac:dyDescent="0.3">
      <c r="A11" s="14" t="s">
        <v>28</v>
      </c>
      <c r="B11" s="15" t="s">
        <v>29</v>
      </c>
      <c r="C11" s="15" t="s">
        <v>18</v>
      </c>
      <c r="D11" s="18">
        <v>43000</v>
      </c>
      <c r="E11" s="17">
        <v>44578</v>
      </c>
      <c r="G11">
        <f>MATCH(I5,A1:E1,0)</f>
        <v>2</v>
      </c>
    </row>
    <row r="12" spans="1:10" x14ac:dyDescent="0.3">
      <c r="A12" s="14" t="s">
        <v>30</v>
      </c>
      <c r="B12" s="15" t="s">
        <v>31</v>
      </c>
      <c r="C12" s="15" t="s">
        <v>13</v>
      </c>
      <c r="D12" s="18">
        <v>64000</v>
      </c>
      <c r="E12" s="17">
        <v>43893</v>
      </c>
    </row>
    <row r="13" spans="1:10" x14ac:dyDescent="0.3">
      <c r="A13" s="14" t="s">
        <v>32</v>
      </c>
      <c r="B13" s="15" t="s">
        <v>33</v>
      </c>
      <c r="C13" s="15" t="s">
        <v>10</v>
      </c>
      <c r="D13" s="18">
        <v>41000</v>
      </c>
      <c r="E13" s="17">
        <v>43689</v>
      </c>
    </row>
    <row r="14" spans="1:10" x14ac:dyDescent="0.3">
      <c r="A14" s="14" t="s">
        <v>34</v>
      </c>
      <c r="B14" s="15" t="s">
        <v>35</v>
      </c>
      <c r="C14" s="15" t="s">
        <v>25</v>
      </c>
      <c r="D14" s="18">
        <v>50000</v>
      </c>
      <c r="E14" s="17">
        <v>44466</v>
      </c>
    </row>
    <row r="15" spans="1:10" x14ac:dyDescent="0.3">
      <c r="A15" s="14" t="s">
        <v>36</v>
      </c>
      <c r="B15" s="15" t="s">
        <v>37</v>
      </c>
      <c r="C15" s="15" t="s">
        <v>7</v>
      </c>
      <c r="D15" s="18">
        <v>56000</v>
      </c>
      <c r="E15" s="17">
        <v>44696</v>
      </c>
      <c r="J15">
        <f ca="1">J10:L15</f>
        <v>0</v>
      </c>
    </row>
    <row r="16" spans="1:10" x14ac:dyDescent="0.3">
      <c r="A16" s="14" t="s">
        <v>38</v>
      </c>
      <c r="B16" s="15" t="s">
        <v>39</v>
      </c>
      <c r="C16" s="15" t="s">
        <v>13</v>
      </c>
      <c r="D16" s="18">
        <v>63000</v>
      </c>
      <c r="E16" s="17">
        <v>43289</v>
      </c>
    </row>
    <row r="17" spans="1:5" x14ac:dyDescent="0.3">
      <c r="A17" s="14" t="s">
        <v>40</v>
      </c>
      <c r="B17" s="15" t="s">
        <v>41</v>
      </c>
      <c r="C17" s="15" t="s">
        <v>18</v>
      </c>
      <c r="D17" s="18">
        <v>46000</v>
      </c>
      <c r="E17" s="17">
        <v>44106</v>
      </c>
    </row>
    <row r="18" spans="1:5" x14ac:dyDescent="0.3">
      <c r="A18" s="14" t="s">
        <v>42</v>
      </c>
      <c r="B18" s="15" t="s">
        <v>43</v>
      </c>
      <c r="C18" s="15" t="s">
        <v>25</v>
      </c>
      <c r="D18" s="18">
        <v>48000</v>
      </c>
      <c r="E18" s="17">
        <v>44511</v>
      </c>
    </row>
    <row r="19" spans="1:5" x14ac:dyDescent="0.3">
      <c r="A19" s="14" t="s">
        <v>44</v>
      </c>
      <c r="B19" s="15" t="s">
        <v>45</v>
      </c>
      <c r="C19" s="15" t="s">
        <v>10</v>
      </c>
      <c r="D19" s="18">
        <v>42000</v>
      </c>
      <c r="E19" s="17">
        <v>43495</v>
      </c>
    </row>
    <row r="20" spans="1:5" x14ac:dyDescent="0.3">
      <c r="A20" s="14" t="s">
        <v>46</v>
      </c>
      <c r="B20" s="15" t="s">
        <v>62</v>
      </c>
      <c r="C20" s="15" t="s">
        <v>7</v>
      </c>
      <c r="D20" s="18">
        <v>60000</v>
      </c>
      <c r="E20" s="17">
        <v>44290</v>
      </c>
    </row>
    <row r="21" spans="1:5" x14ac:dyDescent="0.3">
      <c r="A21" s="14" t="s">
        <v>48</v>
      </c>
      <c r="B21" s="15" t="s">
        <v>49</v>
      </c>
      <c r="C21" s="15" t="s">
        <v>13</v>
      </c>
      <c r="D21" s="18">
        <v>61000</v>
      </c>
      <c r="E21" s="17">
        <v>43516</v>
      </c>
    </row>
  </sheetData>
  <mergeCells count="1">
    <mergeCell ref="I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I8" sqref="I8"/>
    </sheetView>
  </sheetViews>
  <sheetFormatPr defaultRowHeight="14.4" x14ac:dyDescent="0.3"/>
  <cols>
    <col min="1" max="1" width="19.109375" customWidth="1"/>
    <col min="2" max="2" width="14.109375" customWidth="1"/>
    <col min="4" max="4" width="13.21875" customWidth="1"/>
    <col min="5" max="5" width="11.33203125" customWidth="1"/>
    <col min="6" max="6" width="17.44140625" customWidth="1"/>
    <col min="9" max="9" width="12.88671875" customWidth="1"/>
    <col min="10" max="10" width="11.44140625" customWidth="1"/>
  </cols>
  <sheetData>
    <row r="1" spans="1:10" ht="28.8" x14ac:dyDescent="0.3">
      <c r="A1" s="1" t="s">
        <v>63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10" x14ac:dyDescent="0.3">
      <c r="A2" s="19" t="s">
        <v>68</v>
      </c>
      <c r="B2" s="19" t="s">
        <v>69</v>
      </c>
      <c r="C2" s="19" t="s">
        <v>70</v>
      </c>
      <c r="D2" s="19" t="s">
        <v>71</v>
      </c>
      <c r="E2" s="20">
        <v>0.375</v>
      </c>
      <c r="F2" s="19" t="s">
        <v>72</v>
      </c>
      <c r="I2" t="s">
        <v>113</v>
      </c>
      <c r="J2" s="20">
        <v>0.375</v>
      </c>
    </row>
    <row r="3" spans="1:10" ht="28.8" x14ac:dyDescent="0.3">
      <c r="A3" s="19" t="s">
        <v>73</v>
      </c>
      <c r="B3" s="19" t="s">
        <v>9</v>
      </c>
      <c r="C3" s="19" t="s">
        <v>70</v>
      </c>
      <c r="D3" s="19" t="s">
        <v>74</v>
      </c>
      <c r="E3" s="20">
        <v>0.41666666666666669</v>
      </c>
      <c r="F3" s="19" t="s">
        <v>75</v>
      </c>
      <c r="I3" t="s">
        <v>74</v>
      </c>
      <c r="J3" s="21" t="str">
        <f>INDEX(A1:F21,MATCH(I3,D1:D21,0),MATCH(J2,E1:E21,0))</f>
        <v>Priya Mehta</v>
      </c>
    </row>
    <row r="4" spans="1:10" ht="28.8" x14ac:dyDescent="0.3">
      <c r="A4" s="19" t="s">
        <v>76</v>
      </c>
      <c r="B4" s="19" t="s">
        <v>77</v>
      </c>
      <c r="C4" s="19" t="s">
        <v>78</v>
      </c>
      <c r="D4" s="19" t="s">
        <v>79</v>
      </c>
      <c r="E4" s="20">
        <v>0.375</v>
      </c>
      <c r="F4" s="19" t="s">
        <v>80</v>
      </c>
    </row>
    <row r="5" spans="1:10" ht="28.8" x14ac:dyDescent="0.3">
      <c r="A5" s="19" t="s">
        <v>81</v>
      </c>
      <c r="B5" s="19" t="s">
        <v>15</v>
      </c>
      <c r="C5" s="19" t="s">
        <v>82</v>
      </c>
      <c r="D5" s="19" t="s">
        <v>83</v>
      </c>
      <c r="E5" s="20">
        <v>0.45833333333333331</v>
      </c>
      <c r="F5" s="19" t="s">
        <v>84</v>
      </c>
    </row>
    <row r="6" spans="1:10" ht="28.8" x14ac:dyDescent="0.3">
      <c r="A6" s="19" t="s">
        <v>85</v>
      </c>
      <c r="B6" s="19" t="s">
        <v>86</v>
      </c>
      <c r="C6" s="19" t="s">
        <v>78</v>
      </c>
      <c r="D6" s="19" t="s">
        <v>71</v>
      </c>
      <c r="E6" s="20">
        <v>0.5</v>
      </c>
      <c r="F6" s="19" t="s">
        <v>72</v>
      </c>
    </row>
    <row r="7" spans="1:10" ht="28.8" x14ac:dyDescent="0.3">
      <c r="A7" s="19" t="s">
        <v>87</v>
      </c>
      <c r="B7" s="19" t="s">
        <v>20</v>
      </c>
      <c r="C7" s="19" t="s">
        <v>70</v>
      </c>
      <c r="D7" s="19" t="s">
        <v>88</v>
      </c>
      <c r="E7" s="20">
        <v>0.54166666666666663</v>
      </c>
      <c r="F7" s="19" t="s">
        <v>89</v>
      </c>
    </row>
    <row r="8" spans="1:10" x14ac:dyDescent="0.3">
      <c r="A8" s="19" t="s">
        <v>90</v>
      </c>
      <c r="B8" s="19" t="s">
        <v>91</v>
      </c>
      <c r="C8" s="19" t="s">
        <v>82</v>
      </c>
      <c r="D8" s="19" t="s">
        <v>74</v>
      </c>
      <c r="E8" s="20">
        <v>0.375</v>
      </c>
      <c r="F8" s="19" t="s">
        <v>75</v>
      </c>
      <c r="I8" s="29"/>
    </row>
    <row r="9" spans="1:10" ht="28.8" x14ac:dyDescent="0.3">
      <c r="A9" s="19" t="s">
        <v>92</v>
      </c>
      <c r="B9" s="19" t="s">
        <v>45</v>
      </c>
      <c r="C9" s="19" t="s">
        <v>70</v>
      </c>
      <c r="D9" s="19" t="s">
        <v>79</v>
      </c>
      <c r="E9" s="20">
        <v>0.45833333333333331</v>
      </c>
      <c r="F9" s="19" t="s">
        <v>80</v>
      </c>
    </row>
    <row r="10" spans="1:10" x14ac:dyDescent="0.3">
      <c r="A10" s="19" t="s">
        <v>93</v>
      </c>
      <c r="B10" s="19" t="s">
        <v>94</v>
      </c>
      <c r="C10" s="19" t="s">
        <v>78</v>
      </c>
      <c r="D10" s="19" t="s">
        <v>83</v>
      </c>
      <c r="E10" s="20">
        <v>0.41666666666666669</v>
      </c>
      <c r="F10" s="19" t="s">
        <v>84</v>
      </c>
    </row>
    <row r="11" spans="1:10" x14ac:dyDescent="0.3">
      <c r="A11" s="19" t="s">
        <v>95</v>
      </c>
      <c r="B11" s="19" t="s">
        <v>96</v>
      </c>
      <c r="C11" s="19" t="s">
        <v>82</v>
      </c>
      <c r="D11" s="19" t="s">
        <v>71</v>
      </c>
      <c r="E11" s="20">
        <v>0.5</v>
      </c>
      <c r="F11" s="19" t="s">
        <v>72</v>
      </c>
    </row>
    <row r="12" spans="1:10" x14ac:dyDescent="0.3">
      <c r="A12" s="19" t="s">
        <v>97</v>
      </c>
      <c r="B12" s="19" t="s">
        <v>43</v>
      </c>
      <c r="C12" s="19" t="s">
        <v>70</v>
      </c>
      <c r="D12" s="19" t="s">
        <v>74</v>
      </c>
      <c r="E12" s="20">
        <v>0.58333333333333337</v>
      </c>
      <c r="F12" s="19" t="s">
        <v>75</v>
      </c>
    </row>
    <row r="13" spans="1:10" x14ac:dyDescent="0.3">
      <c r="A13" s="19" t="s">
        <v>98</v>
      </c>
      <c r="B13" s="19" t="s">
        <v>33</v>
      </c>
      <c r="C13" s="19" t="s">
        <v>78</v>
      </c>
      <c r="D13" s="19" t="s">
        <v>88</v>
      </c>
      <c r="E13" s="20">
        <v>0.375</v>
      </c>
      <c r="F13" s="19" t="s">
        <v>89</v>
      </c>
    </row>
    <row r="14" spans="1:10" x14ac:dyDescent="0.3">
      <c r="A14" s="19" t="s">
        <v>99</v>
      </c>
      <c r="B14" s="19" t="s">
        <v>12</v>
      </c>
      <c r="C14" s="19" t="s">
        <v>82</v>
      </c>
      <c r="D14" s="19" t="s">
        <v>79</v>
      </c>
      <c r="E14" s="20">
        <v>0.41666666666666669</v>
      </c>
      <c r="F14" s="19" t="s">
        <v>80</v>
      </c>
    </row>
    <row r="15" spans="1:10" x14ac:dyDescent="0.3">
      <c r="A15" s="19" t="s">
        <v>100</v>
      </c>
      <c r="B15" s="19" t="s">
        <v>101</v>
      </c>
      <c r="C15" s="19" t="s">
        <v>70</v>
      </c>
      <c r="D15" s="19" t="s">
        <v>83</v>
      </c>
      <c r="E15" s="20">
        <v>0.54166666666666663</v>
      </c>
      <c r="F15" s="19" t="s">
        <v>84</v>
      </c>
    </row>
    <row r="16" spans="1:10" x14ac:dyDescent="0.3">
      <c r="A16" s="19" t="s">
        <v>102</v>
      </c>
      <c r="B16" s="19" t="s">
        <v>103</v>
      </c>
      <c r="C16" s="19" t="s">
        <v>78</v>
      </c>
      <c r="D16" s="19" t="s">
        <v>71</v>
      </c>
      <c r="E16" s="20">
        <v>0.45833333333333331</v>
      </c>
      <c r="F16" s="19" t="s">
        <v>72</v>
      </c>
    </row>
    <row r="17" spans="1:6" x14ac:dyDescent="0.3">
      <c r="A17" s="19" t="s">
        <v>104</v>
      </c>
      <c r="B17" s="19" t="s">
        <v>105</v>
      </c>
      <c r="C17" s="19" t="s">
        <v>82</v>
      </c>
      <c r="D17" s="19" t="s">
        <v>88</v>
      </c>
      <c r="E17" s="20">
        <v>0.58333333333333337</v>
      </c>
      <c r="F17" s="19" t="s">
        <v>89</v>
      </c>
    </row>
    <row r="18" spans="1:6" x14ac:dyDescent="0.3">
      <c r="A18" s="19" t="s">
        <v>106</v>
      </c>
      <c r="B18" s="19" t="s">
        <v>107</v>
      </c>
      <c r="C18" s="19" t="s">
        <v>78</v>
      </c>
      <c r="D18" s="19" t="s">
        <v>74</v>
      </c>
      <c r="E18" s="20">
        <v>0.5</v>
      </c>
      <c r="F18" s="19" t="s">
        <v>75</v>
      </c>
    </row>
    <row r="19" spans="1:6" x14ac:dyDescent="0.3">
      <c r="A19" s="19" t="s">
        <v>108</v>
      </c>
      <c r="B19" s="19" t="s">
        <v>109</v>
      </c>
      <c r="C19" s="19" t="s">
        <v>70</v>
      </c>
      <c r="D19" s="19" t="s">
        <v>79</v>
      </c>
      <c r="E19" s="20">
        <v>0.41666666666666669</v>
      </c>
      <c r="F19" s="19" t="s">
        <v>80</v>
      </c>
    </row>
    <row r="20" spans="1:6" x14ac:dyDescent="0.3">
      <c r="A20" s="19" t="s">
        <v>110</v>
      </c>
      <c r="B20" s="19" t="s">
        <v>111</v>
      </c>
      <c r="C20" s="19" t="s">
        <v>78</v>
      </c>
      <c r="D20" s="19" t="s">
        <v>83</v>
      </c>
      <c r="E20" s="20">
        <v>0.54166666666666663</v>
      </c>
      <c r="F20" s="19" t="s">
        <v>84</v>
      </c>
    </row>
    <row r="21" spans="1:6" x14ac:dyDescent="0.3">
      <c r="A21" s="19" t="s">
        <v>112</v>
      </c>
      <c r="B21" s="19" t="s">
        <v>41</v>
      </c>
      <c r="C21" s="19" t="s">
        <v>82</v>
      </c>
      <c r="D21" s="19" t="s">
        <v>74</v>
      </c>
      <c r="E21" s="20">
        <v>0.45833333333333331</v>
      </c>
      <c r="F21" s="19" t="s">
        <v>75</v>
      </c>
    </row>
  </sheetData>
  <dataValidations count="2">
    <dataValidation type="list" allowBlank="1" showInputMessage="1" showErrorMessage="1" sqref="I3">
      <formula1>$D$2:$D$21</formula1>
    </dataValidation>
    <dataValidation type="list" allowBlank="1" showInputMessage="1" showErrorMessage="1" sqref="J2">
      <formula1>$E$2:$E$21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v-lokkup2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2025-10-28T06:54:52Z</dcterms:created>
  <dcterms:modified xsi:type="dcterms:W3CDTF">2025-11-21T15:33:34Z</dcterms:modified>
</cp:coreProperties>
</file>